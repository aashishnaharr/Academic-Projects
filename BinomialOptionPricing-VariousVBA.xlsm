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ASHISH\Downloads\"/>
    </mc:Choice>
  </mc:AlternateContent>
  <xr:revisionPtr revIDLastSave="0" documentId="13_ncr:1_{9F2FC556-AB7A-4002-9BC3-988D26578E8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arameters" sheetId="3" r:id="rId1"/>
    <sheet name="One Step" sheetId="4" r:id="rId2"/>
    <sheet name="Two Step" sheetId="6" r:id="rId3"/>
    <sheet name="Question 1" sheetId="8" r:id="rId4"/>
    <sheet name="Ten Step" sheetId="10" r:id="rId5"/>
    <sheet name="Ten Step with Dividend" sheetId="11" r:id="rId6"/>
  </sheets>
  <definedNames>
    <definedName name="chAssetPrice">Parameters!$B$39</definedName>
    <definedName name="chDelta">Parameters!$E$40</definedName>
    <definedName name="chDividend">Parameters!$B$47</definedName>
    <definedName name="chGamma">Parameters!$E$41</definedName>
    <definedName name="chOptionPrice">Parameters!$E$39</definedName>
    <definedName name="chRiskFreeRate">Parameters!$B$46</definedName>
    <definedName name="chSteps">Parameters!$B$48</definedName>
    <definedName name="chStrikePriceCall">Parameters!$B$43</definedName>
    <definedName name="chStrikePricePut">Parameters!$B$44</definedName>
    <definedName name="chTheta">Parameters!$E$42</definedName>
    <definedName name="chTimeToChoice">Parameters!$B$40</definedName>
    <definedName name="chTimeToMaturityCall">Parameters!$B$41</definedName>
    <definedName name="chTimeToMaturityPut">Parameters!$B$42</definedName>
    <definedName name="chVolatility">Parameters!$B$45</definedName>
    <definedName name="coAssetPrice">Parameters!$B$32</definedName>
    <definedName name="coCallOrPut1">Parameters!$B$26</definedName>
    <definedName name="coCallOrPut2">Parameters!$B$27</definedName>
    <definedName name="coDelta">Parameters!$E$27</definedName>
    <definedName name="coDividend">Parameters!$B$35</definedName>
    <definedName name="coGamma">Parameters!$E$28</definedName>
    <definedName name="coOptionPrice">Parameters!$E$26</definedName>
    <definedName name="coRiskFreeRate">Parameters!$B$34</definedName>
    <definedName name="coSteps">Parameters!$B$36</definedName>
    <definedName name="coStrikePrice1">Parameters!$B$28</definedName>
    <definedName name="coStrikePrice2">Parameters!$B$29</definedName>
    <definedName name="coTheta">Parameters!$E$29</definedName>
    <definedName name="coTimeToMaturity1">Parameters!$B$30</definedName>
    <definedName name="coTimeToMaturity2">Parameters!$B$31</definedName>
    <definedName name="coVolatility">Parameters!$B$33</definedName>
    <definedName name="sAssetPrice">Parameters!$B$7</definedName>
    <definedName name="sCallOrPut">Parameters!$B$6</definedName>
    <definedName name="sDelta">Parameters!$E$6</definedName>
    <definedName name="sDividend">Parameters!$B$12</definedName>
    <definedName name="sEuropeanOrAmerican">Parameters!$B$5</definedName>
    <definedName name="sGamma">Parameters!$E$7</definedName>
    <definedName name="shAssetPrice">Parameters!$B$17</definedName>
    <definedName name="shCallOrPut">Parameters!$B$16</definedName>
    <definedName name="shDelta">Parameters!$E$17</definedName>
    <definedName name="shDividend">Parameters!$B$22</definedName>
    <definedName name="shGamma">Parameters!$E$18</definedName>
    <definedName name="shOptionPrice">Parameters!$E$16</definedName>
    <definedName name="shRiskFreeRate">Parameters!$B$21</definedName>
    <definedName name="shSteps">Parameters!$B$23</definedName>
    <definedName name="shStrikePrice">Parameters!$B$18</definedName>
    <definedName name="shTheta">Parameters!$E$19</definedName>
    <definedName name="shTimeToMaturity">Parameters!$B$19</definedName>
    <definedName name="shVolatility">Parameters!$B$20</definedName>
    <definedName name="sOptionPrice">Parameters!$E$5</definedName>
    <definedName name="sRiskFreeRate">Parameters!$B$11</definedName>
    <definedName name="sSteps">Parameters!$B$13</definedName>
    <definedName name="sStrikePrice">Parameters!$B$8</definedName>
    <definedName name="sTheta">Parameters!$E$8</definedName>
    <definedName name="sTimeToMaturity">Parameters!$B$9</definedName>
    <definedName name="sVolatility">Parameters!$B$10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4" l="1"/>
  <c r="H38" i="4"/>
  <c r="I35" i="4"/>
  <c r="H35" i="4"/>
  <c r="I34" i="4"/>
  <c r="H34" i="4"/>
  <c r="F34" i="4"/>
  <c r="E34" i="4"/>
  <c r="E36" i="4" s="1"/>
  <c r="E37" i="4" s="1"/>
  <c r="E38" i="4" s="1"/>
  <c r="E39" i="4" s="1"/>
  <c r="B4" i="6"/>
  <c r="B10" i="11"/>
  <c r="B4" i="11"/>
  <c r="Y41" i="10"/>
  <c r="W39" i="10" s="1"/>
  <c r="U37" i="10" s="1"/>
  <c r="S35" i="10" s="1"/>
  <c r="Q33" i="10" s="1"/>
  <c r="O31" i="10" s="1"/>
  <c r="M29" i="10" s="1"/>
  <c r="K27" i="10" s="1"/>
  <c r="I25" i="10" s="1"/>
  <c r="G23" i="10" s="1"/>
  <c r="Y33" i="10"/>
  <c r="W31" i="10" s="1"/>
  <c r="U33" i="10" s="1"/>
  <c r="W35" i="10"/>
  <c r="Y29" i="10"/>
  <c r="Y25" i="10"/>
  <c r="W23" i="10"/>
  <c r="Y21" i="10"/>
  <c r="W19" i="10" s="1"/>
  <c r="Y17" i="10"/>
  <c r="W15" i="10" s="1"/>
  <c r="Y13" i="10"/>
  <c r="W11" i="10" s="1"/>
  <c r="Y9" i="10"/>
  <c r="AA39" i="10"/>
  <c r="Y37" i="10"/>
  <c r="U24" i="10"/>
  <c r="W22" i="10" s="1"/>
  <c r="B4" i="10"/>
  <c r="H36" i="4" l="1"/>
  <c r="H37" i="4" s="1"/>
  <c r="B8" i="11"/>
  <c r="W27" i="10"/>
  <c r="U25" i="10" s="1"/>
  <c r="S23" i="10" s="1"/>
  <c r="U21" i="10"/>
  <c r="U13" i="10"/>
  <c r="S15" i="10" s="1"/>
  <c r="U17" i="10"/>
  <c r="S19" i="10" s="1"/>
  <c r="B7" i="10"/>
  <c r="B9" i="11" l="1"/>
  <c r="I20" i="11"/>
  <c r="K18" i="11" s="1"/>
  <c r="M16" i="11" s="1"/>
  <c r="O14" i="11" s="1"/>
  <c r="Q12" i="11" s="1"/>
  <c r="S10" i="11" s="1"/>
  <c r="U8" i="11" s="1"/>
  <c r="W6" i="11" s="1"/>
  <c r="Y4" i="11" s="1"/>
  <c r="AA2" i="11" s="1"/>
  <c r="AA3" i="11" s="1"/>
  <c r="Q21" i="10"/>
  <c r="U29" i="10"/>
  <c r="S27" i="10" s="1"/>
  <c r="Q25" i="10" s="1"/>
  <c r="Q17" i="10"/>
  <c r="I20" i="10"/>
  <c r="K18" i="10" s="1"/>
  <c r="M16" i="10" s="1"/>
  <c r="O14" i="10" s="1"/>
  <c r="Q12" i="10" s="1"/>
  <c r="S10" i="10" s="1"/>
  <c r="U8" i="10" s="1"/>
  <c r="W6" i="10" s="1"/>
  <c r="Y4" i="10" s="1"/>
  <c r="AA2" i="10" s="1"/>
  <c r="AA3" i="10" s="1"/>
  <c r="B8" i="10"/>
  <c r="I24" i="10" s="1"/>
  <c r="K22" i="10" s="1"/>
  <c r="M24" i="10" s="1"/>
  <c r="O26" i="10" s="1"/>
  <c r="Q28" i="10" s="1"/>
  <c r="I24" i="11" l="1"/>
  <c r="S31" i="10"/>
  <c r="Q29" i="10" s="1"/>
  <c r="O27" i="10" s="1"/>
  <c r="O19" i="10"/>
  <c r="O23" i="10"/>
  <c r="S30" i="10"/>
  <c r="U32" i="10" s="1"/>
  <c r="W34" i="10" s="1"/>
  <c r="Y36" i="10" s="1"/>
  <c r="AA38" i="10" s="1"/>
  <c r="O22" i="10"/>
  <c r="K26" i="10"/>
  <c r="M28" i="10" s="1"/>
  <c r="O30" i="10" s="1"/>
  <c r="Q32" i="10" s="1"/>
  <c r="S34" i="10" s="1"/>
  <c r="U36" i="10" s="1"/>
  <c r="W38" i="10" s="1"/>
  <c r="Y40" i="10" s="1"/>
  <c r="AA42" i="10" s="1"/>
  <c r="AA43" i="10" s="1"/>
  <c r="M20" i="10"/>
  <c r="O18" i="10" s="1"/>
  <c r="Q16" i="10" s="1"/>
  <c r="S14" i="10" s="1"/>
  <c r="U12" i="10" s="1"/>
  <c r="W10" i="10" s="1"/>
  <c r="C9" i="10"/>
  <c r="B9" i="10" s="1"/>
  <c r="K22" i="11" l="1"/>
  <c r="K26" i="11"/>
  <c r="M28" i="11" s="1"/>
  <c r="O30" i="11" s="1"/>
  <c r="Q32" i="11" s="1"/>
  <c r="S34" i="11" s="1"/>
  <c r="U36" i="11" s="1"/>
  <c r="W38" i="11" s="1"/>
  <c r="Y40" i="11" s="1"/>
  <c r="AA42" i="11" s="1"/>
  <c r="AA43" i="11" s="1"/>
  <c r="M25" i="10"/>
  <c r="M21" i="10"/>
  <c r="Y8" i="10"/>
  <c r="AA6" i="10" s="1"/>
  <c r="AA7" i="10" s="1"/>
  <c r="Y5" i="10" s="1"/>
  <c r="W7" i="10" s="1"/>
  <c r="U9" i="10" s="1"/>
  <c r="S11" i="10" s="1"/>
  <c r="Q13" i="10" s="1"/>
  <c r="O15" i="10" s="1"/>
  <c r="M17" i="10" s="1"/>
  <c r="Q24" i="10"/>
  <c r="S26" i="10" s="1"/>
  <c r="Q20" i="10"/>
  <c r="S18" i="10" s="1"/>
  <c r="U16" i="10" s="1"/>
  <c r="W14" i="10" s="1"/>
  <c r="Y12" i="10" s="1"/>
  <c r="AA10" i="10" s="1"/>
  <c r="AA11" i="10" s="1"/>
  <c r="M24" i="11" l="1"/>
  <c r="M20" i="11"/>
  <c r="O18" i="11" s="1"/>
  <c r="Q16" i="11" s="1"/>
  <c r="S14" i="11" s="1"/>
  <c r="U12" i="11" s="1"/>
  <c r="W10" i="11" s="1"/>
  <c r="Y8" i="11" s="1"/>
  <c r="AA6" i="11" s="1"/>
  <c r="AA7" i="11" s="1"/>
  <c r="K19" i="10"/>
  <c r="K23" i="10"/>
  <c r="S22" i="10"/>
  <c r="U20" i="10" s="1"/>
  <c r="W18" i="10" s="1"/>
  <c r="Y16" i="10" s="1"/>
  <c r="AA14" i="10" s="1"/>
  <c r="AA15" i="10" s="1"/>
  <c r="Y5" i="11" l="1"/>
  <c r="O22" i="11"/>
  <c r="O26" i="11"/>
  <c r="Q28" i="11" s="1"/>
  <c r="S30" i="11" s="1"/>
  <c r="U32" i="11" s="1"/>
  <c r="W34" i="11" s="1"/>
  <c r="Y36" i="11" s="1"/>
  <c r="AA38" i="11" s="1"/>
  <c r="AA39" i="11" s="1"/>
  <c r="Y41" i="11" s="1"/>
  <c r="I21" i="10"/>
  <c r="U28" i="10"/>
  <c r="W30" i="10" s="1"/>
  <c r="K17" i="8"/>
  <c r="O14" i="8"/>
  <c r="O7" i="8"/>
  <c r="K14" i="8"/>
  <c r="K7" i="8"/>
  <c r="B7" i="8"/>
  <c r="Q20" i="11" l="1"/>
  <c r="S18" i="11" s="1"/>
  <c r="U16" i="11" s="1"/>
  <c r="W14" i="11" s="1"/>
  <c r="Y12" i="11" s="1"/>
  <c r="AA10" i="11" s="1"/>
  <c r="AA11" i="11" s="1"/>
  <c r="Q24" i="11"/>
  <c r="Y32" i="10"/>
  <c r="AA34" i="10" s="1"/>
  <c r="AA35" i="10" s="1"/>
  <c r="W26" i="10"/>
  <c r="Y28" i="10" s="1"/>
  <c r="AA30" i="10" s="1"/>
  <c r="AA31" i="10" s="1"/>
  <c r="F35" i="6"/>
  <c r="F34" i="6"/>
  <c r="F32" i="6"/>
  <c r="F31" i="6"/>
  <c r="K33" i="6"/>
  <c r="K32" i="6"/>
  <c r="K31" i="6"/>
  <c r="K30" i="6"/>
  <c r="G24" i="6"/>
  <c r="G24" i="4"/>
  <c r="K4" i="6"/>
  <c r="K7" i="6"/>
  <c r="K8" i="6" s="1"/>
  <c r="L11" i="6" s="1"/>
  <c r="K11" i="6" s="1"/>
  <c r="L10" i="6"/>
  <c r="K10" i="6" s="1"/>
  <c r="C10" i="6"/>
  <c r="B10" i="6" s="1"/>
  <c r="C13" i="6" s="1"/>
  <c r="B13" i="6" s="1"/>
  <c r="C17" i="6" s="1"/>
  <c r="G10" i="6"/>
  <c r="F10" i="6" s="1"/>
  <c r="G9" i="6"/>
  <c r="F9" i="6" s="1"/>
  <c r="G8" i="6"/>
  <c r="F8" i="6" s="1"/>
  <c r="C9" i="6"/>
  <c r="B9" i="6" s="1"/>
  <c r="D28" i="4"/>
  <c r="D20" i="4"/>
  <c r="D22" i="4" s="1"/>
  <c r="B8" i="4"/>
  <c r="A16" i="4" s="1"/>
  <c r="A18" i="4" s="1"/>
  <c r="A20" i="4" s="1"/>
  <c r="G28" i="4"/>
  <c r="G26" i="4"/>
  <c r="A24" i="4"/>
  <c r="A22" i="4"/>
  <c r="H31" i="4" l="1"/>
  <c r="I36" i="4"/>
  <c r="S22" i="11"/>
  <c r="U20" i="11" s="1"/>
  <c r="W18" i="11" s="1"/>
  <c r="Y16" i="11" s="1"/>
  <c r="AA14" i="11" s="1"/>
  <c r="AA15" i="11" s="1"/>
  <c r="Y13" i="11" s="1"/>
  <c r="S26" i="11"/>
  <c r="Y9" i="11"/>
  <c r="Y24" i="10"/>
  <c r="AA26" i="10" s="1"/>
  <c r="AA27" i="10" s="1"/>
  <c r="Y20" i="10"/>
  <c r="L9" i="6"/>
  <c r="K9" i="6" s="1"/>
  <c r="L15" i="6"/>
  <c r="K15" i="6" s="1"/>
  <c r="L19" i="6" s="1"/>
  <c r="K19" i="6" s="1"/>
  <c r="L14" i="6"/>
  <c r="K14" i="6" s="1"/>
  <c r="L18" i="6" s="1"/>
  <c r="K18" i="6" s="1"/>
  <c r="L13" i="6"/>
  <c r="K13" i="6" s="1"/>
  <c r="L17" i="6" s="1"/>
  <c r="K17" i="6" s="1"/>
  <c r="L12" i="6"/>
  <c r="K12" i="6" s="1"/>
  <c r="L16" i="6" s="1"/>
  <c r="K16" i="6" s="1"/>
  <c r="C8" i="6"/>
  <c r="B8" i="6" s="1"/>
  <c r="G12" i="6"/>
  <c r="F12" i="6" s="1"/>
  <c r="G11" i="6"/>
  <c r="F11" i="6" s="1"/>
  <c r="G14" i="6"/>
  <c r="F14" i="6" s="1"/>
  <c r="G13" i="6"/>
  <c r="F13" i="6" s="1"/>
  <c r="B17" i="6"/>
  <c r="C14" i="6"/>
  <c r="B14" i="6" s="1"/>
  <c r="C18" i="6" s="1"/>
  <c r="C11" i="6"/>
  <c r="B11" i="6" s="1"/>
  <c r="C15" i="6" s="1"/>
  <c r="C12" i="6"/>
  <c r="B12" i="6" s="1"/>
  <c r="C16" i="6" s="1"/>
  <c r="G20" i="4"/>
  <c r="G22" i="4" s="1"/>
  <c r="D24" i="4"/>
  <c r="D26" i="4"/>
  <c r="A26" i="4"/>
  <c r="G30" i="4"/>
  <c r="E31" i="4" l="1"/>
  <c r="F35" i="4"/>
  <c r="F36" i="4" s="1"/>
  <c r="U24" i="11"/>
  <c r="U28" i="11"/>
  <c r="W30" i="11" s="1"/>
  <c r="Y32" i="11" s="1"/>
  <c r="AA34" i="11" s="1"/>
  <c r="AA35" i="11" s="1"/>
  <c r="Y37" i="11" s="1"/>
  <c r="W39" i="11" s="1"/>
  <c r="W11" i="11"/>
  <c r="W7" i="11"/>
  <c r="AA22" i="10"/>
  <c r="AA23" i="10" s="1"/>
  <c r="AA18" i="10"/>
  <c r="AA19" i="10" s="1"/>
  <c r="L20" i="6"/>
  <c r="K20" i="6" s="1"/>
  <c r="L21" i="6"/>
  <c r="K21" i="6" s="1"/>
  <c r="L22" i="6" s="1"/>
  <c r="G18" i="6"/>
  <c r="F18" i="6" s="1"/>
  <c r="G17" i="6"/>
  <c r="F17" i="6" s="1"/>
  <c r="G15" i="6"/>
  <c r="F15" i="6" s="1"/>
  <c r="G16" i="6"/>
  <c r="F16" i="6" s="1"/>
  <c r="B15" i="6"/>
  <c r="B18" i="6"/>
  <c r="C20" i="6" s="1"/>
  <c r="B20" i="6" s="1"/>
  <c r="B16" i="6"/>
  <c r="D30" i="4"/>
  <c r="W26" i="11" l="1"/>
  <c r="Y28" i="11" s="1"/>
  <c r="AA30" i="11" s="1"/>
  <c r="AA31" i="11" s="1"/>
  <c r="Y33" i="11" s="1"/>
  <c r="W35" i="11" s="1"/>
  <c r="U37" i="11" s="1"/>
  <c r="W22" i="11"/>
  <c r="U9" i="11"/>
  <c r="G19" i="6"/>
  <c r="F19" i="6" s="1"/>
  <c r="G20" i="6"/>
  <c r="F20" i="6" s="1"/>
  <c r="C19" i="6"/>
  <c r="B19" i="6" s="1"/>
  <c r="Y20" i="11" l="1"/>
  <c r="Y24" i="11"/>
  <c r="AA26" i="11" s="1"/>
  <c r="AA27" i="11" s="1"/>
  <c r="Y29" i="11" s="1"/>
  <c r="W31" i="11" s="1"/>
  <c r="U33" i="11" s="1"/>
  <c r="S35" i="11" s="1"/>
  <c r="G21" i="6"/>
  <c r="E26" i="6" s="1"/>
  <c r="C21" i="6"/>
  <c r="G26" i="6" s="1"/>
  <c r="AA22" i="11" l="1"/>
  <c r="AA23" i="11" s="1"/>
  <c r="Y25" i="11" s="1"/>
  <c r="W27" i="11" s="1"/>
  <c r="U29" i="11" s="1"/>
  <c r="S31" i="11" s="1"/>
  <c r="Q33" i="11" s="1"/>
  <c r="AA18" i="11"/>
  <c r="AA19" i="11" s="1"/>
  <c r="Y21" i="11" l="1"/>
  <c r="W23" i="11" s="1"/>
  <c r="U25" i="11" s="1"/>
  <c r="S27" i="11" s="1"/>
  <c r="Q29" i="11" s="1"/>
  <c r="O31" i="11" s="1"/>
  <c r="Y17" i="11"/>
  <c r="W19" i="11" l="1"/>
  <c r="U21" i="11" s="1"/>
  <c r="S23" i="11" s="1"/>
  <c r="Q25" i="11" s="1"/>
  <c r="O27" i="11" s="1"/>
  <c r="M29" i="11" s="1"/>
  <c r="W15" i="11"/>
  <c r="U17" i="11" l="1"/>
  <c r="S19" i="11" s="1"/>
  <c r="Q21" i="11" s="1"/>
  <c r="O23" i="11" s="1"/>
  <c r="M25" i="11" s="1"/>
  <c r="K27" i="11" s="1"/>
  <c r="U13" i="11"/>
  <c r="S15" i="11" l="1"/>
  <c r="Q17" i="11" s="1"/>
  <c r="O19" i="11" s="1"/>
  <c r="M21" i="11" s="1"/>
  <c r="K23" i="11" s="1"/>
  <c r="I25" i="11" s="1"/>
  <c r="S11" i="11"/>
  <c r="Q13" i="11" s="1"/>
  <c r="O15" i="11" s="1"/>
  <c r="M17" i="11" s="1"/>
  <c r="K19" i="11" s="1"/>
  <c r="I21" i="11" l="1"/>
  <c r="G23" i="11" s="1"/>
</calcChain>
</file>

<file path=xl/sharedStrings.xml><?xml version="1.0" encoding="utf-8"?>
<sst xmlns="http://schemas.openxmlformats.org/spreadsheetml/2006/main" count="268" uniqueCount="114">
  <si>
    <t>Strike Price</t>
    <phoneticPr fontId="1" type="noConversion"/>
  </si>
  <si>
    <t>Time to Maturity</t>
    <phoneticPr fontId="1" type="noConversion"/>
  </si>
  <si>
    <t>Volatility</t>
    <phoneticPr fontId="1" type="noConversion"/>
  </si>
  <si>
    <t>C</t>
    <phoneticPr fontId="1" type="noConversion"/>
  </si>
  <si>
    <t>C</t>
    <phoneticPr fontId="1" type="noConversion"/>
  </si>
  <si>
    <t>Volatility</t>
    <phoneticPr fontId="1" type="noConversion"/>
  </si>
  <si>
    <t>No of Steps</t>
    <phoneticPr fontId="1" type="noConversion"/>
  </si>
  <si>
    <t>Strike Price of Call</t>
    <phoneticPr fontId="1" type="noConversion"/>
  </si>
  <si>
    <t>Time to Maturity of Call</t>
    <phoneticPr fontId="1" type="noConversion"/>
  </si>
  <si>
    <t>Strike Price of Put</t>
    <phoneticPr fontId="1" type="noConversion"/>
  </si>
  <si>
    <t>Time to Maturity of Put</t>
    <phoneticPr fontId="1" type="noConversion"/>
  </si>
  <si>
    <t>Binomial Option Pricing</t>
  </si>
  <si>
    <t>European or American (E or A)</t>
  </si>
  <si>
    <t>Call or Put (C or P)</t>
  </si>
  <si>
    <t>Results</t>
  </si>
  <si>
    <t>Delta</t>
  </si>
  <si>
    <t>Asset Price</t>
  </si>
  <si>
    <t>Time to Choose</t>
  </si>
  <si>
    <t>Dividend</t>
  </si>
  <si>
    <t>Price</t>
  </si>
  <si>
    <t>Gamma</t>
  </si>
  <si>
    <t>Theta</t>
  </si>
  <si>
    <t>Damma</t>
  </si>
  <si>
    <t>Shout Option</t>
  </si>
  <si>
    <t>Compound Option</t>
  </si>
  <si>
    <t>Chooser Option</t>
  </si>
  <si>
    <t>Compound Call or Put (C or P)</t>
  </si>
  <si>
    <t>Underlying Call or Put (C or P)</t>
  </si>
  <si>
    <t>Strike Price of Compound</t>
  </si>
  <si>
    <t>Strike Price of Underlying</t>
  </si>
  <si>
    <t>Expiry Time of Compound</t>
  </si>
  <si>
    <t>Expiry Time of Underlying</t>
  </si>
  <si>
    <t>Risk-Free Rate</t>
  </si>
  <si>
    <t>Standard Option</t>
  </si>
  <si>
    <t>C</t>
  </si>
  <si>
    <t>http://investexcel.net/</t>
  </si>
  <si>
    <t>E</t>
  </si>
  <si>
    <t>Volatility</t>
  </si>
  <si>
    <t>=</t>
  </si>
  <si>
    <t>Stock Price (S)</t>
  </si>
  <si>
    <t>= [Enter stock price value here]</t>
  </si>
  <si>
    <t>Strike Price (K)</t>
  </si>
  <si>
    <t>= [Enter strike price value here]</t>
  </si>
  <si>
    <t>Time to Maturity (T) in years</t>
  </si>
  <si>
    <t>= [Enter time to maturity value here]</t>
  </si>
  <si>
    <t>Risk-Free Rate (r)</t>
  </si>
  <si>
    <t>= [Enter risk-free rate value here]</t>
  </si>
  <si>
    <t>Volatility (σ)</t>
  </si>
  <si>
    <t>= [Enter volatility value here]</t>
  </si>
  <si>
    <t>Dividend Yield (q)</t>
  </si>
  <si>
    <t>= [Enter dividend yield value here]</t>
  </si>
  <si>
    <t>Up Factor (u)</t>
  </si>
  <si>
    <t>Down Factor (d)</t>
  </si>
  <si>
    <t>Risk-Neutral Probability (p)</t>
  </si>
  <si>
    <t>Value if Up (Cu) for Call</t>
  </si>
  <si>
    <t>Value if Down (Cd) for Call</t>
  </si>
  <si>
    <t>Call Option Price</t>
  </si>
  <si>
    <t>Stock Price if Up (Su)</t>
  </si>
  <si>
    <t>Stock Price if Down (Sd)</t>
  </si>
  <si>
    <t>Put Option Price</t>
  </si>
  <si>
    <t>ONE STEP BINOMIAL</t>
  </si>
  <si>
    <t>Time to Maturity (T)</t>
  </si>
  <si>
    <t>Stock Price Su</t>
  </si>
  <si>
    <t>Stock Price Sd</t>
  </si>
  <si>
    <t>Stock Price Suu</t>
  </si>
  <si>
    <t>Stock Price Sud</t>
  </si>
  <si>
    <t>Stock Price Sdu</t>
  </si>
  <si>
    <t>Stock Price Sdd</t>
  </si>
  <si>
    <t>Option Price</t>
  </si>
  <si>
    <t>Put Call Parity</t>
  </si>
  <si>
    <t>Stock Price + Put Price</t>
  </si>
  <si>
    <t>PV(Strike Price) + Call price</t>
  </si>
  <si>
    <t>Years</t>
  </si>
  <si>
    <t>Option Value Cuu</t>
  </si>
  <si>
    <t>Option Value Cud</t>
  </si>
  <si>
    <t>Option Value Cdu</t>
  </si>
  <si>
    <t>Option Value Cdd</t>
  </si>
  <si>
    <t>Option Value at Cu</t>
  </si>
  <si>
    <t>Option Value at Cd</t>
  </si>
  <si>
    <t>Call Option Price with volatility</t>
  </si>
  <si>
    <t>T</t>
  </si>
  <si>
    <t>r</t>
  </si>
  <si>
    <t>sigma</t>
  </si>
  <si>
    <t>u</t>
  </si>
  <si>
    <t>d</t>
  </si>
  <si>
    <t>p</t>
  </si>
  <si>
    <t>K</t>
  </si>
  <si>
    <t>S</t>
  </si>
  <si>
    <t>Exhibit 10 Black-Scholes Valuation for Stealth Tier</t>
  </si>
  <si>
    <t xml:space="preserve">PV of Potential Project/Home Passed (S) </t>
  </si>
  <si>
    <t xml:space="preserve">Time to Maturity (T, years) </t>
  </si>
  <si>
    <t xml:space="preserve">Call Option Value/Home Passed </t>
  </si>
  <si>
    <t xml:space="preserve">Times: Number of empty 6 MHz channels on the Stealth Tier </t>
  </si>
  <si>
    <t xml:space="preserve">Asset Value of the Stealth Tier </t>
  </si>
  <si>
    <t xml:space="preserve">Less: current investment/home passed </t>
  </si>
  <si>
    <t xml:space="preserve">Value of the Stealth Tier/home passed </t>
  </si>
  <si>
    <t xml:space="preserve">Current Market valuation/home passed </t>
  </si>
  <si>
    <t xml:space="preserve">Stealth Tier/current valuation </t>
  </si>
  <si>
    <t>d1 =</t>
  </si>
  <si>
    <t xml:space="preserve">d2 = </t>
  </si>
  <si>
    <r>
      <t>C</t>
    </r>
    <r>
      <rPr>
        <b/>
        <sz val="14"/>
        <color rgb="FF2D2D2D"/>
        <rFont val="Franklin Gothic Book"/>
        <family val="2"/>
      </rPr>
      <t xml:space="preserve"> </t>
    </r>
    <r>
      <rPr>
        <sz val="14"/>
        <color rgb="FF2D2D2D"/>
        <rFont val="Franklin Gothic Book"/>
        <family val="2"/>
      </rPr>
      <t xml:space="preserve">= </t>
    </r>
    <r>
      <rPr>
        <b/>
        <sz val="14"/>
        <color rgb="FF2D2D2D"/>
        <rFont val="Franklin Gothic Book"/>
        <family val="2"/>
      </rPr>
      <t>S*N(d</t>
    </r>
    <r>
      <rPr>
        <b/>
        <vertAlign val="subscript"/>
        <sz val="14"/>
        <color rgb="FF2D2D2D"/>
        <rFont val="Franklin Gothic Book"/>
        <family val="2"/>
      </rPr>
      <t>1</t>
    </r>
    <r>
      <rPr>
        <b/>
        <sz val="14"/>
        <color rgb="FF2D2D2D"/>
        <rFont val="Franklin Gothic Book"/>
        <family val="2"/>
      </rPr>
      <t xml:space="preserve">) – K*e </t>
    </r>
    <r>
      <rPr>
        <b/>
        <vertAlign val="superscript"/>
        <sz val="14"/>
        <color rgb="FF2D2D2D"/>
        <rFont val="Franklin Gothic Book"/>
        <family val="2"/>
      </rPr>
      <t>–rt</t>
    </r>
    <r>
      <rPr>
        <b/>
        <sz val="14"/>
        <color rgb="FF2D2D2D"/>
        <rFont val="Franklin Gothic Book"/>
        <family val="2"/>
      </rPr>
      <t xml:space="preserve"> *N(d</t>
    </r>
    <r>
      <rPr>
        <b/>
        <vertAlign val="subscript"/>
        <sz val="14"/>
        <color rgb="FF2D2D2D"/>
        <rFont val="Franklin Gothic Book"/>
        <family val="2"/>
      </rPr>
      <t>2</t>
    </r>
    <r>
      <rPr>
        <b/>
        <sz val="14"/>
        <color rgb="FF2D2D2D"/>
        <rFont val="Franklin Gothic Book"/>
        <family val="2"/>
      </rPr>
      <t>)</t>
    </r>
  </si>
  <si>
    <t>d1</t>
  </si>
  <si>
    <t>Investment Cost (X) or (K)</t>
  </si>
  <si>
    <t>Risk Free Rate (rf ) or ®</t>
  </si>
  <si>
    <t>d2</t>
  </si>
  <si>
    <t>Variance</t>
  </si>
  <si>
    <t>c</t>
  </si>
  <si>
    <t>N(d1)</t>
  </si>
  <si>
    <t>N(d2)</t>
  </si>
  <si>
    <t xml:space="preserve">Node Time: </t>
  </si>
  <si>
    <t>Dividend Yield or Deprec</t>
  </si>
  <si>
    <t>Hedge Ratio</t>
  </si>
  <si>
    <t>Present value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</si>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</sst>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164" formatCode="0.000"/>
    <numFmt numFmtId="165" formatCode="0.0000"/>
    <numFmt numFmtId="166" formatCode="0.0000%"/>
    <numFmt numFmtId="173" formatCode="0.0"/>
  </numFmts>
  <fonts count="13" x14ac:knownFonts="1">
    <font>
      <sz val="10"/>
      <name val="Arial"/>
      <family val="2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0"/>
      <color theme="10"/>
      <name val="Arial"/>
      <family val="2"/>
    </font>
    <font>
      <b/>
      <sz val="24"/>
      <name val="Calibri"/>
      <family val="2"/>
      <scheme val="minor"/>
    </font>
    <font>
      <sz val="8.75"/>
      <color rgb="FF0F0F0F"/>
      <name val="Courier New"/>
      <family val="3"/>
    </font>
    <font>
      <b/>
      <sz val="10"/>
      <name val="Arial"/>
      <family val="2"/>
    </font>
    <font>
      <sz val="14"/>
      <color rgb="FF2D2D2D"/>
      <name val="Franklin Gothic Book"/>
      <family val="2"/>
    </font>
    <font>
      <b/>
      <sz val="14"/>
      <color rgb="FF2D2D2D"/>
      <name val="Franklin Gothic Book"/>
      <family val="2"/>
    </font>
    <font>
      <b/>
      <vertAlign val="subscript"/>
      <sz val="14"/>
      <color rgb="FF2D2D2D"/>
      <name val="Franklin Gothic Book"/>
      <family val="2"/>
    </font>
    <font>
      <b/>
      <vertAlign val="superscript"/>
      <sz val="14"/>
      <color rgb="FF2D2D2D"/>
      <name val="Franklin Gothic Book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5">
    <xf numFmtId="0" fontId="0" fillId="0" borderId="0" xfId="0"/>
    <xf numFmtId="0" fontId="3" fillId="0" borderId="0" xfId="0" applyFont="1"/>
    <xf numFmtId="0" fontId="6" fillId="0" borderId="0" xfId="0" applyFont="1"/>
    <xf numFmtId="0" fontId="5" fillId="0" borderId="0" xfId="1"/>
    <xf numFmtId="0" fontId="4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164" fontId="3" fillId="2" borderId="4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4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/>
    <xf numFmtId="0" fontId="3" fillId="3" borderId="6" xfId="0" applyFont="1" applyFill="1" applyBorder="1" applyAlignment="1">
      <alignment horizontal="center"/>
    </xf>
    <xf numFmtId="0" fontId="7" fillId="0" borderId="0" xfId="0" applyFont="1" applyAlignment="1">
      <alignment horizontal="left" vertical="center" indent="1"/>
    </xf>
    <xf numFmtId="9" fontId="0" fillId="0" borderId="0" xfId="0" applyNumberFormat="1"/>
    <xf numFmtId="0" fontId="0" fillId="5" borderId="0" xfId="0" applyFill="1"/>
    <xf numFmtId="165" fontId="0" fillId="0" borderId="0" xfId="0" applyNumberFormat="1"/>
    <xf numFmtId="0" fontId="0" fillId="0" borderId="0" xfId="0" quotePrefix="1"/>
    <xf numFmtId="8" fontId="0" fillId="0" borderId="0" xfId="0" applyNumberFormat="1"/>
    <xf numFmtId="10" fontId="0" fillId="0" borderId="0" xfId="0" applyNumberFormat="1"/>
    <xf numFmtId="6" fontId="0" fillId="0" borderId="0" xfId="0" applyNumberFormat="1"/>
    <xf numFmtId="0" fontId="8" fillId="0" borderId="0" xfId="0" applyFont="1"/>
    <xf numFmtId="0" fontId="9" fillId="0" borderId="0" xfId="0" applyFont="1" applyAlignment="1">
      <alignment horizontal="left" vertical="center" indent="5" readingOrder="1"/>
    </xf>
    <xf numFmtId="166" fontId="0" fillId="0" borderId="0" xfId="0" quotePrefix="1" applyNumberFormat="1"/>
    <xf numFmtId="2" fontId="0" fillId="0" borderId="0" xfId="0" applyNumberFormat="1"/>
    <xf numFmtId="10" fontId="3" fillId="3" borderId="4" xfId="0" applyNumberFormat="1" applyFont="1" applyFill="1" applyBorder="1" applyAlignment="1">
      <alignment horizontal="center"/>
    </xf>
    <xf numFmtId="9" fontId="3" fillId="3" borderId="4" xfId="0" applyNumberFormat="1" applyFont="1" applyFill="1" applyBorder="1" applyAlignment="1">
      <alignment horizontal="center"/>
    </xf>
    <xf numFmtId="0" fontId="0" fillId="0" borderId="7" xfId="0" applyBorder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12" fontId="0" fillId="0" borderId="0" xfId="0" applyNumberFormat="1"/>
    <xf numFmtId="173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8</xdr:row>
          <xdr:rowOff>142875</xdr:rowOff>
        </xdr:from>
        <xdr:to>
          <xdr:col>4</xdr:col>
          <xdr:colOff>219075</xdr:colOff>
          <xdr:row>10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29</xdr:row>
          <xdr:rowOff>104775</xdr:rowOff>
        </xdr:from>
        <xdr:to>
          <xdr:col>4</xdr:col>
          <xdr:colOff>171450</xdr:colOff>
          <xdr:row>31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42</xdr:row>
          <xdr:rowOff>114300</xdr:rowOff>
        </xdr:from>
        <xdr:to>
          <xdr:col>4</xdr:col>
          <xdr:colOff>219075</xdr:colOff>
          <xdr:row>44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19</xdr:row>
          <xdr:rowOff>104775</xdr:rowOff>
        </xdr:from>
        <xdr:to>
          <xdr:col>4</xdr:col>
          <xdr:colOff>219075</xdr:colOff>
          <xdr:row>21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3</xdr:row>
      <xdr:rowOff>38100</xdr:rowOff>
    </xdr:from>
    <xdr:to>
      <xdr:col>7</xdr:col>
      <xdr:colOff>38100</xdr:colOff>
      <xdr:row>10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523875"/>
          <a:ext cx="1790700" cy="1133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85725</xdr:colOff>
      <xdr:row>10</xdr:row>
      <xdr:rowOff>85725</xdr:rowOff>
    </xdr:from>
    <xdr:to>
      <xdr:col>6</xdr:col>
      <xdr:colOff>438150</xdr:colOff>
      <xdr:row>14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1704975"/>
          <a:ext cx="157162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22</xdr:row>
      <xdr:rowOff>34925</xdr:rowOff>
    </xdr:from>
    <xdr:to>
      <xdr:col>6</xdr:col>
      <xdr:colOff>9525</xdr:colOff>
      <xdr:row>23</xdr:row>
      <xdr:rowOff>0</xdr:rowOff>
    </xdr:to>
    <xdr:cxnSp macro="">
      <xdr:nvCxnSpPr>
        <xdr:cNvPr id="9062" name="Straight Connector 9061">
          <a:extLst>
            <a:ext uri="{FF2B5EF4-FFF2-40B4-BE49-F238E27FC236}">
              <a16:creationId xmlns:a16="http://schemas.microsoft.com/office/drawing/2014/main" id="{00000000-0008-0000-0400-00006623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 bwMode="auto">
        <a:xfrm flipV="1">
          <a:off x="590550" y="32734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 bwMode="auto">
        <a:xfrm>
          <a:off x="590550" y="37357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 bwMode="auto">
        <a:xfrm flipV="1">
          <a:off x="1362075" y="35972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 bwMode="auto">
        <a:xfrm>
          <a:off x="1362075" y="40595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 bwMode="auto">
        <a:xfrm flipV="1">
          <a:off x="1362075" y="29495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21</xdr:row>
      <xdr:rowOff>11430</xdr:rowOff>
    </xdr:from>
    <xdr:to>
      <xdr:col>10</xdr:col>
      <xdr:colOff>9525</xdr:colOff>
      <xdr:row>21</xdr:row>
      <xdr:rowOff>138430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 bwMode="auto">
        <a:xfrm>
          <a:off x="1362075" y="34118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 bwMode="auto">
        <a:xfrm flipV="1">
          <a:off x="2133600" y="39211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/>
      </xdr:nvCxnSpPr>
      <xdr:spPr bwMode="auto">
        <a:xfrm>
          <a:off x="2133600" y="43834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 bwMode="auto">
        <a:xfrm flipV="1">
          <a:off x="2133600" y="32734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23</xdr:row>
      <xdr:rowOff>11430</xdr:rowOff>
    </xdr:from>
    <xdr:to>
      <xdr:col>12</xdr:col>
      <xdr:colOff>9525</xdr:colOff>
      <xdr:row>23</xdr:row>
      <xdr:rowOff>138430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 bwMode="auto">
        <a:xfrm>
          <a:off x="2133600" y="37357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/>
      </xdr:nvCxnSpPr>
      <xdr:spPr bwMode="auto">
        <a:xfrm flipV="1">
          <a:off x="2133600" y="26257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19</xdr:row>
      <xdr:rowOff>11430</xdr:rowOff>
    </xdr:from>
    <xdr:to>
      <xdr:col>12</xdr:col>
      <xdr:colOff>9525</xdr:colOff>
      <xdr:row>19</xdr:row>
      <xdr:rowOff>138430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 bwMode="auto">
        <a:xfrm>
          <a:off x="2133600" y="30880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 bwMode="auto">
        <a:xfrm flipV="1">
          <a:off x="2905125" y="42449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 bwMode="auto">
        <a:xfrm>
          <a:off x="2905125" y="47072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 bwMode="auto">
        <a:xfrm flipV="1">
          <a:off x="2905125" y="35972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25</xdr:row>
      <xdr:rowOff>11430</xdr:rowOff>
    </xdr:from>
    <xdr:to>
      <xdr:col>14</xdr:col>
      <xdr:colOff>9525</xdr:colOff>
      <xdr:row>25</xdr:row>
      <xdr:rowOff>138430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 bwMode="auto">
        <a:xfrm>
          <a:off x="2905125" y="40595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 bwMode="auto">
        <a:xfrm flipV="1">
          <a:off x="2905125" y="29495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21</xdr:row>
      <xdr:rowOff>11430</xdr:rowOff>
    </xdr:from>
    <xdr:to>
      <xdr:col>14</xdr:col>
      <xdr:colOff>9525</xdr:colOff>
      <xdr:row>21</xdr:row>
      <xdr:rowOff>138430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 bwMode="auto">
        <a:xfrm>
          <a:off x="2905125" y="34118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14</xdr:row>
      <xdr:rowOff>34925</xdr:rowOff>
    </xdr:from>
    <xdr:to>
      <xdr:col>14</xdr:col>
      <xdr:colOff>9525</xdr:colOff>
      <xdr:row>15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 bwMode="auto">
        <a:xfrm flipV="1">
          <a:off x="2905125" y="23018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17</xdr:row>
      <xdr:rowOff>11430</xdr:rowOff>
    </xdr:from>
    <xdr:to>
      <xdr:col>14</xdr:col>
      <xdr:colOff>9525</xdr:colOff>
      <xdr:row>17</xdr:row>
      <xdr:rowOff>138430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 bwMode="auto">
        <a:xfrm>
          <a:off x="2905125" y="27641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 bwMode="auto">
        <a:xfrm flipV="1">
          <a:off x="3676650" y="45688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 bwMode="auto">
        <a:xfrm>
          <a:off x="3676650" y="50311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 bwMode="auto">
        <a:xfrm flipV="1">
          <a:off x="3676650" y="39211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27</xdr:row>
      <xdr:rowOff>11430</xdr:rowOff>
    </xdr:from>
    <xdr:to>
      <xdr:col>16</xdr:col>
      <xdr:colOff>9525</xdr:colOff>
      <xdr:row>27</xdr:row>
      <xdr:rowOff>138430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 bwMode="auto">
        <a:xfrm>
          <a:off x="3676650" y="43834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 bwMode="auto">
        <a:xfrm flipV="1">
          <a:off x="3676650" y="32734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23</xdr:row>
      <xdr:rowOff>11430</xdr:rowOff>
    </xdr:from>
    <xdr:to>
      <xdr:col>16</xdr:col>
      <xdr:colOff>9525</xdr:colOff>
      <xdr:row>23</xdr:row>
      <xdr:rowOff>138430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 bwMode="auto">
        <a:xfrm>
          <a:off x="3676650" y="37357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 bwMode="auto">
        <a:xfrm flipV="1">
          <a:off x="3676650" y="26257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19</xdr:row>
      <xdr:rowOff>11430</xdr:rowOff>
    </xdr:from>
    <xdr:to>
      <xdr:col>16</xdr:col>
      <xdr:colOff>9525</xdr:colOff>
      <xdr:row>19</xdr:row>
      <xdr:rowOff>138430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CxnSpPr/>
      </xdr:nvCxnSpPr>
      <xdr:spPr bwMode="auto">
        <a:xfrm>
          <a:off x="3676650" y="30880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12</xdr:row>
      <xdr:rowOff>34925</xdr:rowOff>
    </xdr:from>
    <xdr:to>
      <xdr:col>16</xdr:col>
      <xdr:colOff>9525</xdr:colOff>
      <xdr:row>13</xdr:row>
      <xdr:rowOff>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 bwMode="auto">
        <a:xfrm flipV="1">
          <a:off x="3676650" y="19780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15</xdr:row>
      <xdr:rowOff>11430</xdr:rowOff>
    </xdr:from>
    <xdr:to>
      <xdr:col>16</xdr:col>
      <xdr:colOff>9525</xdr:colOff>
      <xdr:row>15</xdr:row>
      <xdr:rowOff>138430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 bwMode="auto">
        <a:xfrm>
          <a:off x="3676650" y="24403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 bwMode="auto">
        <a:xfrm flipV="1">
          <a:off x="4448175" y="48926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 bwMode="auto">
        <a:xfrm>
          <a:off x="4448175" y="53549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 bwMode="auto">
        <a:xfrm flipV="1">
          <a:off x="4448175" y="42449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29</xdr:row>
      <xdr:rowOff>11430</xdr:rowOff>
    </xdr:from>
    <xdr:to>
      <xdr:col>18</xdr:col>
      <xdr:colOff>9525</xdr:colOff>
      <xdr:row>29</xdr:row>
      <xdr:rowOff>138430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CxnSpPr/>
      </xdr:nvCxnSpPr>
      <xdr:spPr bwMode="auto">
        <a:xfrm>
          <a:off x="4448175" y="47072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CxnSpPr/>
      </xdr:nvCxnSpPr>
      <xdr:spPr bwMode="auto">
        <a:xfrm flipV="1">
          <a:off x="4448175" y="35972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25</xdr:row>
      <xdr:rowOff>11430</xdr:rowOff>
    </xdr:from>
    <xdr:to>
      <xdr:col>18</xdr:col>
      <xdr:colOff>9525</xdr:colOff>
      <xdr:row>25</xdr:row>
      <xdr:rowOff>138430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CxnSpPr/>
      </xdr:nvCxnSpPr>
      <xdr:spPr bwMode="auto">
        <a:xfrm>
          <a:off x="4448175" y="40595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 bwMode="auto">
        <a:xfrm flipV="1">
          <a:off x="4448175" y="29495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21</xdr:row>
      <xdr:rowOff>11430</xdr:rowOff>
    </xdr:from>
    <xdr:to>
      <xdr:col>18</xdr:col>
      <xdr:colOff>9525</xdr:colOff>
      <xdr:row>21</xdr:row>
      <xdr:rowOff>138430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CxnSpPr/>
      </xdr:nvCxnSpPr>
      <xdr:spPr bwMode="auto">
        <a:xfrm>
          <a:off x="4448175" y="34118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CxnSpPr/>
      </xdr:nvCxnSpPr>
      <xdr:spPr bwMode="auto">
        <a:xfrm flipV="1">
          <a:off x="4448175" y="23018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17</xdr:row>
      <xdr:rowOff>11430</xdr:rowOff>
    </xdr:from>
    <xdr:to>
      <xdr:col>18</xdr:col>
      <xdr:colOff>9525</xdr:colOff>
      <xdr:row>17</xdr:row>
      <xdr:rowOff>138430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CxnSpPr/>
      </xdr:nvCxnSpPr>
      <xdr:spPr bwMode="auto">
        <a:xfrm>
          <a:off x="4448175" y="27641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10</xdr:row>
      <xdr:rowOff>34925</xdr:rowOff>
    </xdr:from>
    <xdr:to>
      <xdr:col>18</xdr:col>
      <xdr:colOff>9525</xdr:colOff>
      <xdr:row>11</xdr:row>
      <xdr:rowOff>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CxnSpPr/>
      </xdr:nvCxnSpPr>
      <xdr:spPr bwMode="auto">
        <a:xfrm flipV="1">
          <a:off x="4448175" y="16541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13</xdr:row>
      <xdr:rowOff>11430</xdr:rowOff>
    </xdr:from>
    <xdr:to>
      <xdr:col>18</xdr:col>
      <xdr:colOff>9525</xdr:colOff>
      <xdr:row>13</xdr:row>
      <xdr:rowOff>138430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CxnSpPr/>
      </xdr:nvCxnSpPr>
      <xdr:spPr bwMode="auto">
        <a:xfrm>
          <a:off x="4448175" y="21164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CxnSpPr/>
      </xdr:nvCxnSpPr>
      <xdr:spPr bwMode="auto">
        <a:xfrm flipV="1">
          <a:off x="5219700" y="52165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CxnSpPr/>
      </xdr:nvCxnSpPr>
      <xdr:spPr bwMode="auto">
        <a:xfrm>
          <a:off x="5219700" y="56788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CxnSpPr/>
      </xdr:nvCxnSpPr>
      <xdr:spPr bwMode="auto">
        <a:xfrm flipV="1">
          <a:off x="5219700" y="45688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CxnSpPr/>
      </xdr:nvCxnSpPr>
      <xdr:spPr bwMode="auto">
        <a:xfrm>
          <a:off x="5219700" y="50311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CxnSpPr/>
      </xdr:nvCxnSpPr>
      <xdr:spPr bwMode="auto">
        <a:xfrm flipV="1">
          <a:off x="5219700" y="39211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27</xdr:row>
      <xdr:rowOff>11430</xdr:rowOff>
    </xdr:from>
    <xdr:to>
      <xdr:col>20</xdr:col>
      <xdr:colOff>9525</xdr:colOff>
      <xdr:row>27</xdr:row>
      <xdr:rowOff>138430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CxnSpPr/>
      </xdr:nvCxnSpPr>
      <xdr:spPr bwMode="auto">
        <a:xfrm>
          <a:off x="5219700" y="43834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CxnSpPr/>
      </xdr:nvCxnSpPr>
      <xdr:spPr bwMode="auto">
        <a:xfrm flipV="1">
          <a:off x="5219700" y="32734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23</xdr:row>
      <xdr:rowOff>11430</xdr:rowOff>
    </xdr:from>
    <xdr:to>
      <xdr:col>20</xdr:col>
      <xdr:colOff>9525</xdr:colOff>
      <xdr:row>23</xdr:row>
      <xdr:rowOff>138430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CxnSpPr/>
      </xdr:nvCxnSpPr>
      <xdr:spPr bwMode="auto">
        <a:xfrm>
          <a:off x="5219700" y="37357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CxnSpPr/>
      </xdr:nvCxnSpPr>
      <xdr:spPr bwMode="auto">
        <a:xfrm flipV="1">
          <a:off x="5219700" y="26257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19</xdr:row>
      <xdr:rowOff>11430</xdr:rowOff>
    </xdr:from>
    <xdr:to>
      <xdr:col>20</xdr:col>
      <xdr:colOff>9525</xdr:colOff>
      <xdr:row>19</xdr:row>
      <xdr:rowOff>138430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CxnSpPr/>
      </xdr:nvCxnSpPr>
      <xdr:spPr bwMode="auto">
        <a:xfrm>
          <a:off x="5219700" y="30880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CxnSpPr/>
      </xdr:nvCxnSpPr>
      <xdr:spPr bwMode="auto">
        <a:xfrm flipV="1">
          <a:off x="5219700" y="19780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15</xdr:row>
      <xdr:rowOff>11430</xdr:rowOff>
    </xdr:from>
    <xdr:to>
      <xdr:col>20</xdr:col>
      <xdr:colOff>9525</xdr:colOff>
      <xdr:row>15</xdr:row>
      <xdr:rowOff>138430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CxnSpPr/>
      </xdr:nvCxnSpPr>
      <xdr:spPr bwMode="auto">
        <a:xfrm>
          <a:off x="5219700" y="24403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8</xdr:row>
      <xdr:rowOff>34925</xdr:rowOff>
    </xdr:from>
    <xdr:to>
      <xdr:col>20</xdr:col>
      <xdr:colOff>9525</xdr:colOff>
      <xdr:row>9</xdr:row>
      <xdr:rowOff>0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CxnSpPr/>
      </xdr:nvCxnSpPr>
      <xdr:spPr bwMode="auto">
        <a:xfrm flipV="1">
          <a:off x="5219700" y="13303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 bwMode="auto">
        <a:xfrm>
          <a:off x="5219700" y="17926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/>
      </xdr:nvCxnSpPr>
      <xdr:spPr bwMode="auto">
        <a:xfrm flipV="1">
          <a:off x="5991225" y="55403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CxnSpPr/>
      </xdr:nvCxnSpPr>
      <xdr:spPr bwMode="auto">
        <a:xfrm>
          <a:off x="5991225" y="60026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CxnSpPr/>
      </xdr:nvCxnSpPr>
      <xdr:spPr bwMode="auto">
        <a:xfrm flipV="1">
          <a:off x="5991225" y="48926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CxnSpPr/>
      </xdr:nvCxnSpPr>
      <xdr:spPr bwMode="auto">
        <a:xfrm>
          <a:off x="5991225" y="53549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CxnSpPr/>
      </xdr:nvCxnSpPr>
      <xdr:spPr bwMode="auto">
        <a:xfrm flipV="1">
          <a:off x="5991225" y="42449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29</xdr:row>
      <xdr:rowOff>11430</xdr:rowOff>
    </xdr:from>
    <xdr:to>
      <xdr:col>22</xdr:col>
      <xdr:colOff>9525</xdr:colOff>
      <xdr:row>29</xdr:row>
      <xdr:rowOff>138430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/>
      </xdr:nvCxnSpPr>
      <xdr:spPr bwMode="auto">
        <a:xfrm>
          <a:off x="5991225" y="47072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192" name="Straight Connector 8191">
          <a:extLst>
            <a:ext uri="{FF2B5EF4-FFF2-40B4-BE49-F238E27FC236}">
              <a16:creationId xmlns:a16="http://schemas.microsoft.com/office/drawing/2014/main" id="{00000000-0008-0000-0400-000000200000}"/>
            </a:ext>
          </a:extLst>
        </xdr:cNvPr>
        <xdr:cNvCxnSpPr/>
      </xdr:nvCxnSpPr>
      <xdr:spPr bwMode="auto">
        <a:xfrm flipV="1">
          <a:off x="5991225" y="35972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25</xdr:row>
      <xdr:rowOff>11430</xdr:rowOff>
    </xdr:from>
    <xdr:to>
      <xdr:col>22</xdr:col>
      <xdr:colOff>9525</xdr:colOff>
      <xdr:row>25</xdr:row>
      <xdr:rowOff>138430</xdr:rowOff>
    </xdr:to>
    <xdr:cxnSp macro="">
      <xdr:nvCxnSpPr>
        <xdr:cNvPr id="8194" name="Straight Connector 8193">
          <a:extLst>
            <a:ext uri="{FF2B5EF4-FFF2-40B4-BE49-F238E27FC236}">
              <a16:creationId xmlns:a16="http://schemas.microsoft.com/office/drawing/2014/main" id="{00000000-0008-0000-0400-000002200000}"/>
            </a:ext>
          </a:extLst>
        </xdr:cNvPr>
        <xdr:cNvCxnSpPr/>
      </xdr:nvCxnSpPr>
      <xdr:spPr bwMode="auto">
        <a:xfrm>
          <a:off x="5991225" y="40595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400-000003200000}"/>
            </a:ext>
          </a:extLst>
        </xdr:cNvPr>
        <xdr:cNvCxnSpPr/>
      </xdr:nvCxnSpPr>
      <xdr:spPr bwMode="auto">
        <a:xfrm flipV="1">
          <a:off x="5991225" y="29495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21</xdr:row>
      <xdr:rowOff>11430</xdr:rowOff>
    </xdr:from>
    <xdr:to>
      <xdr:col>22</xdr:col>
      <xdr:colOff>9525</xdr:colOff>
      <xdr:row>21</xdr:row>
      <xdr:rowOff>138430</xdr:rowOff>
    </xdr:to>
    <xdr:cxnSp macro="">
      <xdr:nvCxnSpPr>
        <xdr:cNvPr id="8196" name="Straight Connector 8195">
          <a:extLst>
            <a:ext uri="{FF2B5EF4-FFF2-40B4-BE49-F238E27FC236}">
              <a16:creationId xmlns:a16="http://schemas.microsoft.com/office/drawing/2014/main" id="{00000000-0008-0000-0400-000004200000}"/>
            </a:ext>
          </a:extLst>
        </xdr:cNvPr>
        <xdr:cNvCxnSpPr/>
      </xdr:nvCxnSpPr>
      <xdr:spPr bwMode="auto">
        <a:xfrm>
          <a:off x="5991225" y="34118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8197" name="Straight Connector 8196">
          <a:extLst>
            <a:ext uri="{FF2B5EF4-FFF2-40B4-BE49-F238E27FC236}">
              <a16:creationId xmlns:a16="http://schemas.microsoft.com/office/drawing/2014/main" id="{00000000-0008-0000-0400-000005200000}"/>
            </a:ext>
          </a:extLst>
        </xdr:cNvPr>
        <xdr:cNvCxnSpPr/>
      </xdr:nvCxnSpPr>
      <xdr:spPr bwMode="auto">
        <a:xfrm flipV="1">
          <a:off x="5991225" y="23018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17</xdr:row>
      <xdr:rowOff>11430</xdr:rowOff>
    </xdr:from>
    <xdr:to>
      <xdr:col>22</xdr:col>
      <xdr:colOff>9525</xdr:colOff>
      <xdr:row>17</xdr:row>
      <xdr:rowOff>138430</xdr:rowOff>
    </xdr:to>
    <xdr:cxnSp macro="">
      <xdr:nvCxnSpPr>
        <xdr:cNvPr id="8198" name="Straight Connector 8197">
          <a:extLst>
            <a:ext uri="{FF2B5EF4-FFF2-40B4-BE49-F238E27FC236}">
              <a16:creationId xmlns:a16="http://schemas.microsoft.com/office/drawing/2014/main" id="{00000000-0008-0000-0400-000006200000}"/>
            </a:ext>
          </a:extLst>
        </xdr:cNvPr>
        <xdr:cNvCxnSpPr/>
      </xdr:nvCxnSpPr>
      <xdr:spPr bwMode="auto">
        <a:xfrm>
          <a:off x="5991225" y="27641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8199" name="Straight Connector 8198">
          <a:extLst>
            <a:ext uri="{FF2B5EF4-FFF2-40B4-BE49-F238E27FC236}">
              <a16:creationId xmlns:a16="http://schemas.microsoft.com/office/drawing/2014/main" id="{00000000-0008-0000-0400-000007200000}"/>
            </a:ext>
          </a:extLst>
        </xdr:cNvPr>
        <xdr:cNvCxnSpPr/>
      </xdr:nvCxnSpPr>
      <xdr:spPr bwMode="auto">
        <a:xfrm flipV="1">
          <a:off x="5991225" y="16541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13</xdr:row>
      <xdr:rowOff>11430</xdr:rowOff>
    </xdr:from>
    <xdr:to>
      <xdr:col>22</xdr:col>
      <xdr:colOff>9525</xdr:colOff>
      <xdr:row>13</xdr:row>
      <xdr:rowOff>138430</xdr:rowOff>
    </xdr:to>
    <xdr:cxnSp macro="">
      <xdr:nvCxnSpPr>
        <xdr:cNvPr id="8200" name="Straight Connector 8199">
          <a:extLst>
            <a:ext uri="{FF2B5EF4-FFF2-40B4-BE49-F238E27FC236}">
              <a16:creationId xmlns:a16="http://schemas.microsoft.com/office/drawing/2014/main" id="{00000000-0008-0000-0400-000008200000}"/>
            </a:ext>
          </a:extLst>
        </xdr:cNvPr>
        <xdr:cNvCxnSpPr/>
      </xdr:nvCxnSpPr>
      <xdr:spPr bwMode="auto">
        <a:xfrm>
          <a:off x="5991225" y="21164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6</xdr:row>
      <xdr:rowOff>34925</xdr:rowOff>
    </xdr:from>
    <xdr:to>
      <xdr:col>22</xdr:col>
      <xdr:colOff>9525</xdr:colOff>
      <xdr:row>7</xdr:row>
      <xdr:rowOff>0</xdr:rowOff>
    </xdr:to>
    <xdr:cxnSp macro="">
      <xdr:nvCxnSpPr>
        <xdr:cNvPr id="8201" name="Straight Connector 8200">
          <a:extLst>
            <a:ext uri="{FF2B5EF4-FFF2-40B4-BE49-F238E27FC236}">
              <a16:creationId xmlns:a16="http://schemas.microsoft.com/office/drawing/2014/main" id="{00000000-0008-0000-0400-000009200000}"/>
            </a:ext>
          </a:extLst>
        </xdr:cNvPr>
        <xdr:cNvCxnSpPr/>
      </xdr:nvCxnSpPr>
      <xdr:spPr bwMode="auto">
        <a:xfrm flipV="1">
          <a:off x="5991225" y="10064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8202" name="Straight Connector 8201">
          <a:extLst>
            <a:ext uri="{FF2B5EF4-FFF2-40B4-BE49-F238E27FC236}">
              <a16:creationId xmlns:a16="http://schemas.microsoft.com/office/drawing/2014/main" id="{00000000-0008-0000-0400-00000A200000}"/>
            </a:ext>
          </a:extLst>
        </xdr:cNvPr>
        <xdr:cNvCxnSpPr/>
      </xdr:nvCxnSpPr>
      <xdr:spPr bwMode="auto">
        <a:xfrm>
          <a:off x="5991225" y="14687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203" name="Straight Connector 8202">
          <a:extLst>
            <a:ext uri="{FF2B5EF4-FFF2-40B4-BE49-F238E27FC236}">
              <a16:creationId xmlns:a16="http://schemas.microsoft.com/office/drawing/2014/main" id="{00000000-0008-0000-0400-00000B200000}"/>
            </a:ext>
          </a:extLst>
        </xdr:cNvPr>
        <xdr:cNvCxnSpPr/>
      </xdr:nvCxnSpPr>
      <xdr:spPr bwMode="auto">
        <a:xfrm flipV="1">
          <a:off x="6762750" y="58642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204" name="Straight Connector 8203">
          <a:extLst>
            <a:ext uri="{FF2B5EF4-FFF2-40B4-BE49-F238E27FC236}">
              <a16:creationId xmlns:a16="http://schemas.microsoft.com/office/drawing/2014/main" id="{00000000-0008-0000-0400-00000C200000}"/>
            </a:ext>
          </a:extLst>
        </xdr:cNvPr>
        <xdr:cNvCxnSpPr/>
      </xdr:nvCxnSpPr>
      <xdr:spPr bwMode="auto">
        <a:xfrm>
          <a:off x="6762750" y="63265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205" name="Straight Connector 8204">
          <a:extLst>
            <a:ext uri="{FF2B5EF4-FFF2-40B4-BE49-F238E27FC236}">
              <a16:creationId xmlns:a16="http://schemas.microsoft.com/office/drawing/2014/main" id="{00000000-0008-0000-0400-00000D200000}"/>
            </a:ext>
          </a:extLst>
        </xdr:cNvPr>
        <xdr:cNvCxnSpPr/>
      </xdr:nvCxnSpPr>
      <xdr:spPr bwMode="auto">
        <a:xfrm flipV="1">
          <a:off x="6762750" y="52165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206" name="Straight Connector 8205">
          <a:extLst>
            <a:ext uri="{FF2B5EF4-FFF2-40B4-BE49-F238E27FC236}">
              <a16:creationId xmlns:a16="http://schemas.microsoft.com/office/drawing/2014/main" id="{00000000-0008-0000-0400-00000E200000}"/>
            </a:ext>
          </a:extLst>
        </xdr:cNvPr>
        <xdr:cNvCxnSpPr/>
      </xdr:nvCxnSpPr>
      <xdr:spPr bwMode="auto">
        <a:xfrm>
          <a:off x="6762750" y="56788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8207" name="Straight Connector 8206">
          <a:extLst>
            <a:ext uri="{FF2B5EF4-FFF2-40B4-BE49-F238E27FC236}">
              <a16:creationId xmlns:a16="http://schemas.microsoft.com/office/drawing/2014/main" id="{00000000-0008-0000-0400-00000F200000}"/>
            </a:ext>
          </a:extLst>
        </xdr:cNvPr>
        <xdr:cNvCxnSpPr/>
      </xdr:nvCxnSpPr>
      <xdr:spPr bwMode="auto">
        <a:xfrm flipV="1">
          <a:off x="6762750" y="45688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31</xdr:row>
      <xdr:rowOff>11430</xdr:rowOff>
    </xdr:from>
    <xdr:to>
      <xdr:col>24</xdr:col>
      <xdr:colOff>9525</xdr:colOff>
      <xdr:row>31</xdr:row>
      <xdr:rowOff>138430</xdr:rowOff>
    </xdr:to>
    <xdr:cxnSp macro="">
      <xdr:nvCxnSpPr>
        <xdr:cNvPr id="8208" name="Straight Connector 8207">
          <a:extLst>
            <a:ext uri="{FF2B5EF4-FFF2-40B4-BE49-F238E27FC236}">
              <a16:creationId xmlns:a16="http://schemas.microsoft.com/office/drawing/2014/main" id="{00000000-0008-0000-0400-000010200000}"/>
            </a:ext>
          </a:extLst>
        </xdr:cNvPr>
        <xdr:cNvCxnSpPr/>
      </xdr:nvCxnSpPr>
      <xdr:spPr bwMode="auto">
        <a:xfrm>
          <a:off x="6762750" y="50311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8209" name="Straight Connector 8208">
          <a:extLst>
            <a:ext uri="{FF2B5EF4-FFF2-40B4-BE49-F238E27FC236}">
              <a16:creationId xmlns:a16="http://schemas.microsoft.com/office/drawing/2014/main" id="{00000000-0008-0000-0400-000011200000}"/>
            </a:ext>
          </a:extLst>
        </xdr:cNvPr>
        <xdr:cNvCxnSpPr/>
      </xdr:nvCxnSpPr>
      <xdr:spPr bwMode="auto">
        <a:xfrm flipV="1">
          <a:off x="6762750" y="39211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27</xdr:row>
      <xdr:rowOff>11430</xdr:rowOff>
    </xdr:from>
    <xdr:to>
      <xdr:col>24</xdr:col>
      <xdr:colOff>9525</xdr:colOff>
      <xdr:row>27</xdr:row>
      <xdr:rowOff>138430</xdr:rowOff>
    </xdr:to>
    <xdr:cxnSp macro="">
      <xdr:nvCxnSpPr>
        <xdr:cNvPr id="8210" name="Straight Connector 8209">
          <a:extLst>
            <a:ext uri="{FF2B5EF4-FFF2-40B4-BE49-F238E27FC236}">
              <a16:creationId xmlns:a16="http://schemas.microsoft.com/office/drawing/2014/main" id="{00000000-0008-0000-0400-000012200000}"/>
            </a:ext>
          </a:extLst>
        </xdr:cNvPr>
        <xdr:cNvCxnSpPr/>
      </xdr:nvCxnSpPr>
      <xdr:spPr bwMode="auto">
        <a:xfrm>
          <a:off x="6762750" y="43834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211" name="Straight Connector 8210">
          <a:extLst>
            <a:ext uri="{FF2B5EF4-FFF2-40B4-BE49-F238E27FC236}">
              <a16:creationId xmlns:a16="http://schemas.microsoft.com/office/drawing/2014/main" id="{00000000-0008-0000-0400-000013200000}"/>
            </a:ext>
          </a:extLst>
        </xdr:cNvPr>
        <xdr:cNvCxnSpPr/>
      </xdr:nvCxnSpPr>
      <xdr:spPr bwMode="auto">
        <a:xfrm flipV="1">
          <a:off x="6762750" y="32734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23</xdr:row>
      <xdr:rowOff>11430</xdr:rowOff>
    </xdr:from>
    <xdr:to>
      <xdr:col>24</xdr:col>
      <xdr:colOff>9525</xdr:colOff>
      <xdr:row>23</xdr:row>
      <xdr:rowOff>138430</xdr:rowOff>
    </xdr:to>
    <xdr:cxnSp macro="">
      <xdr:nvCxnSpPr>
        <xdr:cNvPr id="8212" name="Straight Connector 8211">
          <a:extLst>
            <a:ext uri="{FF2B5EF4-FFF2-40B4-BE49-F238E27FC236}">
              <a16:creationId xmlns:a16="http://schemas.microsoft.com/office/drawing/2014/main" id="{00000000-0008-0000-0400-000014200000}"/>
            </a:ext>
          </a:extLst>
        </xdr:cNvPr>
        <xdr:cNvCxnSpPr/>
      </xdr:nvCxnSpPr>
      <xdr:spPr bwMode="auto">
        <a:xfrm>
          <a:off x="6762750" y="37357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213" name="Straight Connector 8212">
          <a:extLst>
            <a:ext uri="{FF2B5EF4-FFF2-40B4-BE49-F238E27FC236}">
              <a16:creationId xmlns:a16="http://schemas.microsoft.com/office/drawing/2014/main" id="{00000000-0008-0000-0400-000015200000}"/>
            </a:ext>
          </a:extLst>
        </xdr:cNvPr>
        <xdr:cNvCxnSpPr/>
      </xdr:nvCxnSpPr>
      <xdr:spPr bwMode="auto">
        <a:xfrm flipV="1">
          <a:off x="6762750" y="26257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19</xdr:row>
      <xdr:rowOff>11430</xdr:rowOff>
    </xdr:from>
    <xdr:to>
      <xdr:col>24</xdr:col>
      <xdr:colOff>9525</xdr:colOff>
      <xdr:row>19</xdr:row>
      <xdr:rowOff>138430</xdr:rowOff>
    </xdr:to>
    <xdr:cxnSp macro="">
      <xdr:nvCxnSpPr>
        <xdr:cNvPr id="8214" name="Straight Connector 8213">
          <a:extLst>
            <a:ext uri="{FF2B5EF4-FFF2-40B4-BE49-F238E27FC236}">
              <a16:creationId xmlns:a16="http://schemas.microsoft.com/office/drawing/2014/main" id="{00000000-0008-0000-0400-000016200000}"/>
            </a:ext>
          </a:extLst>
        </xdr:cNvPr>
        <xdr:cNvCxnSpPr/>
      </xdr:nvCxnSpPr>
      <xdr:spPr bwMode="auto">
        <a:xfrm>
          <a:off x="6762750" y="30880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215" name="Straight Connector 8214">
          <a:extLst>
            <a:ext uri="{FF2B5EF4-FFF2-40B4-BE49-F238E27FC236}">
              <a16:creationId xmlns:a16="http://schemas.microsoft.com/office/drawing/2014/main" id="{00000000-0008-0000-0400-000017200000}"/>
            </a:ext>
          </a:extLst>
        </xdr:cNvPr>
        <xdr:cNvCxnSpPr/>
      </xdr:nvCxnSpPr>
      <xdr:spPr bwMode="auto">
        <a:xfrm flipV="1">
          <a:off x="6762750" y="19780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15</xdr:row>
      <xdr:rowOff>11430</xdr:rowOff>
    </xdr:from>
    <xdr:to>
      <xdr:col>24</xdr:col>
      <xdr:colOff>9525</xdr:colOff>
      <xdr:row>15</xdr:row>
      <xdr:rowOff>138430</xdr:rowOff>
    </xdr:to>
    <xdr:cxnSp macro="">
      <xdr:nvCxnSpPr>
        <xdr:cNvPr id="8216" name="Straight Connector 8215">
          <a:extLst>
            <a:ext uri="{FF2B5EF4-FFF2-40B4-BE49-F238E27FC236}">
              <a16:creationId xmlns:a16="http://schemas.microsoft.com/office/drawing/2014/main" id="{00000000-0008-0000-0400-000018200000}"/>
            </a:ext>
          </a:extLst>
        </xdr:cNvPr>
        <xdr:cNvCxnSpPr/>
      </xdr:nvCxnSpPr>
      <xdr:spPr bwMode="auto">
        <a:xfrm>
          <a:off x="6762750" y="24403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217" name="Straight Connector 8216">
          <a:extLst>
            <a:ext uri="{FF2B5EF4-FFF2-40B4-BE49-F238E27FC236}">
              <a16:creationId xmlns:a16="http://schemas.microsoft.com/office/drawing/2014/main" id="{00000000-0008-0000-0400-000019200000}"/>
            </a:ext>
          </a:extLst>
        </xdr:cNvPr>
        <xdr:cNvCxnSpPr/>
      </xdr:nvCxnSpPr>
      <xdr:spPr bwMode="auto">
        <a:xfrm flipV="1">
          <a:off x="6762750" y="13303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11</xdr:row>
      <xdr:rowOff>11430</xdr:rowOff>
    </xdr:from>
    <xdr:to>
      <xdr:col>24</xdr:col>
      <xdr:colOff>9525</xdr:colOff>
      <xdr:row>11</xdr:row>
      <xdr:rowOff>138430</xdr:rowOff>
    </xdr:to>
    <xdr:cxnSp macro="">
      <xdr:nvCxnSpPr>
        <xdr:cNvPr id="8218" name="Straight Connector 8217">
          <a:extLst>
            <a:ext uri="{FF2B5EF4-FFF2-40B4-BE49-F238E27FC236}">
              <a16:creationId xmlns:a16="http://schemas.microsoft.com/office/drawing/2014/main" id="{00000000-0008-0000-0400-00001A200000}"/>
            </a:ext>
          </a:extLst>
        </xdr:cNvPr>
        <xdr:cNvCxnSpPr/>
      </xdr:nvCxnSpPr>
      <xdr:spPr bwMode="auto">
        <a:xfrm>
          <a:off x="6762750" y="17926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4</xdr:row>
      <xdr:rowOff>34925</xdr:rowOff>
    </xdr:from>
    <xdr:to>
      <xdr:col>24</xdr:col>
      <xdr:colOff>9525</xdr:colOff>
      <xdr:row>5</xdr:row>
      <xdr:rowOff>0</xdr:rowOff>
    </xdr:to>
    <xdr:cxnSp macro="">
      <xdr:nvCxnSpPr>
        <xdr:cNvPr id="8219" name="Straight Connector 8218">
          <a:extLst>
            <a:ext uri="{FF2B5EF4-FFF2-40B4-BE49-F238E27FC236}">
              <a16:creationId xmlns:a16="http://schemas.microsoft.com/office/drawing/2014/main" id="{00000000-0008-0000-0400-00001B200000}"/>
            </a:ext>
          </a:extLst>
        </xdr:cNvPr>
        <xdr:cNvCxnSpPr/>
      </xdr:nvCxnSpPr>
      <xdr:spPr bwMode="auto">
        <a:xfrm flipV="1">
          <a:off x="6762750" y="68262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220" name="Straight Connector 8219">
          <a:extLst>
            <a:ext uri="{FF2B5EF4-FFF2-40B4-BE49-F238E27FC236}">
              <a16:creationId xmlns:a16="http://schemas.microsoft.com/office/drawing/2014/main" id="{00000000-0008-0000-0400-00001C200000}"/>
            </a:ext>
          </a:extLst>
        </xdr:cNvPr>
        <xdr:cNvCxnSpPr/>
      </xdr:nvCxnSpPr>
      <xdr:spPr bwMode="auto">
        <a:xfrm>
          <a:off x="6762750" y="114490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38</xdr:row>
      <xdr:rowOff>34925</xdr:rowOff>
    </xdr:from>
    <xdr:to>
      <xdr:col>26</xdr:col>
      <xdr:colOff>9525</xdr:colOff>
      <xdr:row>39</xdr:row>
      <xdr:rowOff>0</xdr:rowOff>
    </xdr:to>
    <xdr:cxnSp macro="">
      <xdr:nvCxnSpPr>
        <xdr:cNvPr id="8221" name="Straight Connector 8220">
          <a:extLst>
            <a:ext uri="{FF2B5EF4-FFF2-40B4-BE49-F238E27FC236}">
              <a16:creationId xmlns:a16="http://schemas.microsoft.com/office/drawing/2014/main" id="{00000000-0008-0000-0400-00001D200000}"/>
            </a:ext>
          </a:extLst>
        </xdr:cNvPr>
        <xdr:cNvCxnSpPr/>
      </xdr:nvCxnSpPr>
      <xdr:spPr bwMode="auto">
        <a:xfrm flipV="1">
          <a:off x="7534275" y="61880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222" name="Straight Connector 8221">
          <a:extLst>
            <a:ext uri="{FF2B5EF4-FFF2-40B4-BE49-F238E27FC236}">
              <a16:creationId xmlns:a16="http://schemas.microsoft.com/office/drawing/2014/main" id="{00000000-0008-0000-0400-00001E200000}"/>
            </a:ext>
          </a:extLst>
        </xdr:cNvPr>
        <xdr:cNvCxnSpPr/>
      </xdr:nvCxnSpPr>
      <xdr:spPr bwMode="auto">
        <a:xfrm>
          <a:off x="7534275" y="66503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34</xdr:row>
      <xdr:rowOff>34925</xdr:rowOff>
    </xdr:from>
    <xdr:to>
      <xdr:col>26</xdr:col>
      <xdr:colOff>9525</xdr:colOff>
      <xdr:row>35</xdr:row>
      <xdr:rowOff>0</xdr:rowOff>
    </xdr:to>
    <xdr:cxnSp macro="">
      <xdr:nvCxnSpPr>
        <xdr:cNvPr id="8223" name="Straight Connector 8222">
          <a:extLst>
            <a:ext uri="{FF2B5EF4-FFF2-40B4-BE49-F238E27FC236}">
              <a16:creationId xmlns:a16="http://schemas.microsoft.com/office/drawing/2014/main" id="{00000000-0008-0000-0400-00001F200000}"/>
            </a:ext>
          </a:extLst>
        </xdr:cNvPr>
        <xdr:cNvCxnSpPr/>
      </xdr:nvCxnSpPr>
      <xdr:spPr bwMode="auto">
        <a:xfrm flipV="1">
          <a:off x="7534275" y="55403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224" name="Straight Connector 8223">
          <a:extLst>
            <a:ext uri="{FF2B5EF4-FFF2-40B4-BE49-F238E27FC236}">
              <a16:creationId xmlns:a16="http://schemas.microsoft.com/office/drawing/2014/main" id="{00000000-0008-0000-0400-000020200000}"/>
            </a:ext>
          </a:extLst>
        </xdr:cNvPr>
        <xdr:cNvCxnSpPr/>
      </xdr:nvCxnSpPr>
      <xdr:spPr bwMode="auto">
        <a:xfrm>
          <a:off x="7534275" y="60026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30</xdr:row>
      <xdr:rowOff>34925</xdr:rowOff>
    </xdr:from>
    <xdr:to>
      <xdr:col>26</xdr:col>
      <xdr:colOff>9525</xdr:colOff>
      <xdr:row>31</xdr:row>
      <xdr:rowOff>0</xdr:rowOff>
    </xdr:to>
    <xdr:cxnSp macro="">
      <xdr:nvCxnSpPr>
        <xdr:cNvPr id="8225" name="Straight Connector 8224">
          <a:extLst>
            <a:ext uri="{FF2B5EF4-FFF2-40B4-BE49-F238E27FC236}">
              <a16:creationId xmlns:a16="http://schemas.microsoft.com/office/drawing/2014/main" id="{00000000-0008-0000-0400-000021200000}"/>
            </a:ext>
          </a:extLst>
        </xdr:cNvPr>
        <xdr:cNvCxnSpPr/>
      </xdr:nvCxnSpPr>
      <xdr:spPr bwMode="auto">
        <a:xfrm flipV="1">
          <a:off x="7534275" y="48926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33</xdr:row>
      <xdr:rowOff>11430</xdr:rowOff>
    </xdr:from>
    <xdr:to>
      <xdr:col>26</xdr:col>
      <xdr:colOff>9525</xdr:colOff>
      <xdr:row>33</xdr:row>
      <xdr:rowOff>138430</xdr:rowOff>
    </xdr:to>
    <xdr:cxnSp macro="">
      <xdr:nvCxnSpPr>
        <xdr:cNvPr id="8226" name="Straight Connector 8225">
          <a:extLst>
            <a:ext uri="{FF2B5EF4-FFF2-40B4-BE49-F238E27FC236}">
              <a16:creationId xmlns:a16="http://schemas.microsoft.com/office/drawing/2014/main" id="{00000000-0008-0000-0400-000022200000}"/>
            </a:ext>
          </a:extLst>
        </xdr:cNvPr>
        <xdr:cNvCxnSpPr/>
      </xdr:nvCxnSpPr>
      <xdr:spPr bwMode="auto">
        <a:xfrm>
          <a:off x="7534275" y="53549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26</xdr:row>
      <xdr:rowOff>34925</xdr:rowOff>
    </xdr:from>
    <xdr:to>
      <xdr:col>26</xdr:col>
      <xdr:colOff>9525</xdr:colOff>
      <xdr:row>27</xdr:row>
      <xdr:rowOff>0</xdr:rowOff>
    </xdr:to>
    <xdr:cxnSp macro="">
      <xdr:nvCxnSpPr>
        <xdr:cNvPr id="8227" name="Straight Connector 8226">
          <a:extLst>
            <a:ext uri="{FF2B5EF4-FFF2-40B4-BE49-F238E27FC236}">
              <a16:creationId xmlns:a16="http://schemas.microsoft.com/office/drawing/2014/main" id="{00000000-0008-0000-0400-000023200000}"/>
            </a:ext>
          </a:extLst>
        </xdr:cNvPr>
        <xdr:cNvCxnSpPr/>
      </xdr:nvCxnSpPr>
      <xdr:spPr bwMode="auto">
        <a:xfrm flipV="1">
          <a:off x="7534275" y="42449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29</xdr:row>
      <xdr:rowOff>11430</xdr:rowOff>
    </xdr:from>
    <xdr:to>
      <xdr:col>26</xdr:col>
      <xdr:colOff>9525</xdr:colOff>
      <xdr:row>29</xdr:row>
      <xdr:rowOff>138430</xdr:rowOff>
    </xdr:to>
    <xdr:cxnSp macro="">
      <xdr:nvCxnSpPr>
        <xdr:cNvPr id="8228" name="Straight Connector 8227">
          <a:extLst>
            <a:ext uri="{FF2B5EF4-FFF2-40B4-BE49-F238E27FC236}">
              <a16:creationId xmlns:a16="http://schemas.microsoft.com/office/drawing/2014/main" id="{00000000-0008-0000-0400-000024200000}"/>
            </a:ext>
          </a:extLst>
        </xdr:cNvPr>
        <xdr:cNvCxnSpPr/>
      </xdr:nvCxnSpPr>
      <xdr:spPr bwMode="auto">
        <a:xfrm>
          <a:off x="7534275" y="47072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22</xdr:row>
      <xdr:rowOff>34925</xdr:rowOff>
    </xdr:from>
    <xdr:to>
      <xdr:col>26</xdr:col>
      <xdr:colOff>9525</xdr:colOff>
      <xdr:row>23</xdr:row>
      <xdr:rowOff>0</xdr:rowOff>
    </xdr:to>
    <xdr:cxnSp macro="">
      <xdr:nvCxnSpPr>
        <xdr:cNvPr id="8229" name="Straight Connector 8228">
          <a:extLst>
            <a:ext uri="{FF2B5EF4-FFF2-40B4-BE49-F238E27FC236}">
              <a16:creationId xmlns:a16="http://schemas.microsoft.com/office/drawing/2014/main" id="{00000000-0008-0000-0400-000025200000}"/>
            </a:ext>
          </a:extLst>
        </xdr:cNvPr>
        <xdr:cNvCxnSpPr/>
      </xdr:nvCxnSpPr>
      <xdr:spPr bwMode="auto">
        <a:xfrm flipV="1">
          <a:off x="7534275" y="35972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25</xdr:row>
      <xdr:rowOff>11430</xdr:rowOff>
    </xdr:from>
    <xdr:to>
      <xdr:col>26</xdr:col>
      <xdr:colOff>9525</xdr:colOff>
      <xdr:row>25</xdr:row>
      <xdr:rowOff>138430</xdr:rowOff>
    </xdr:to>
    <xdr:cxnSp macro="">
      <xdr:nvCxnSpPr>
        <xdr:cNvPr id="8230" name="Straight Connector 8229">
          <a:extLst>
            <a:ext uri="{FF2B5EF4-FFF2-40B4-BE49-F238E27FC236}">
              <a16:creationId xmlns:a16="http://schemas.microsoft.com/office/drawing/2014/main" id="{00000000-0008-0000-0400-000026200000}"/>
            </a:ext>
          </a:extLst>
        </xdr:cNvPr>
        <xdr:cNvCxnSpPr/>
      </xdr:nvCxnSpPr>
      <xdr:spPr bwMode="auto">
        <a:xfrm>
          <a:off x="7534275" y="40595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18</xdr:row>
      <xdr:rowOff>34925</xdr:rowOff>
    </xdr:from>
    <xdr:to>
      <xdr:col>26</xdr:col>
      <xdr:colOff>9525</xdr:colOff>
      <xdr:row>19</xdr:row>
      <xdr:rowOff>0</xdr:rowOff>
    </xdr:to>
    <xdr:cxnSp macro="">
      <xdr:nvCxnSpPr>
        <xdr:cNvPr id="8231" name="Straight Connector 8230">
          <a:extLst>
            <a:ext uri="{FF2B5EF4-FFF2-40B4-BE49-F238E27FC236}">
              <a16:creationId xmlns:a16="http://schemas.microsoft.com/office/drawing/2014/main" id="{00000000-0008-0000-0400-000027200000}"/>
            </a:ext>
          </a:extLst>
        </xdr:cNvPr>
        <xdr:cNvCxnSpPr/>
      </xdr:nvCxnSpPr>
      <xdr:spPr bwMode="auto">
        <a:xfrm flipV="1">
          <a:off x="7534275" y="29495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21</xdr:row>
      <xdr:rowOff>11430</xdr:rowOff>
    </xdr:from>
    <xdr:to>
      <xdr:col>26</xdr:col>
      <xdr:colOff>9525</xdr:colOff>
      <xdr:row>21</xdr:row>
      <xdr:rowOff>138430</xdr:rowOff>
    </xdr:to>
    <xdr:cxnSp macro="">
      <xdr:nvCxnSpPr>
        <xdr:cNvPr id="8232" name="Straight Connector 8231">
          <a:extLst>
            <a:ext uri="{FF2B5EF4-FFF2-40B4-BE49-F238E27FC236}">
              <a16:creationId xmlns:a16="http://schemas.microsoft.com/office/drawing/2014/main" id="{00000000-0008-0000-0400-000028200000}"/>
            </a:ext>
          </a:extLst>
        </xdr:cNvPr>
        <xdr:cNvCxnSpPr/>
      </xdr:nvCxnSpPr>
      <xdr:spPr bwMode="auto">
        <a:xfrm>
          <a:off x="7534275" y="34118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14</xdr:row>
      <xdr:rowOff>34925</xdr:rowOff>
    </xdr:from>
    <xdr:to>
      <xdr:col>26</xdr:col>
      <xdr:colOff>9525</xdr:colOff>
      <xdr:row>15</xdr:row>
      <xdr:rowOff>0</xdr:rowOff>
    </xdr:to>
    <xdr:cxnSp macro="">
      <xdr:nvCxnSpPr>
        <xdr:cNvPr id="8233" name="Straight Connector 8232">
          <a:extLst>
            <a:ext uri="{FF2B5EF4-FFF2-40B4-BE49-F238E27FC236}">
              <a16:creationId xmlns:a16="http://schemas.microsoft.com/office/drawing/2014/main" id="{00000000-0008-0000-0400-000029200000}"/>
            </a:ext>
          </a:extLst>
        </xdr:cNvPr>
        <xdr:cNvCxnSpPr/>
      </xdr:nvCxnSpPr>
      <xdr:spPr bwMode="auto">
        <a:xfrm flipV="1">
          <a:off x="7534275" y="23018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17</xdr:row>
      <xdr:rowOff>11430</xdr:rowOff>
    </xdr:from>
    <xdr:to>
      <xdr:col>26</xdr:col>
      <xdr:colOff>9525</xdr:colOff>
      <xdr:row>17</xdr:row>
      <xdr:rowOff>138430</xdr:rowOff>
    </xdr:to>
    <xdr:cxnSp macro="">
      <xdr:nvCxnSpPr>
        <xdr:cNvPr id="8234" name="Straight Connector 8233">
          <a:extLst>
            <a:ext uri="{FF2B5EF4-FFF2-40B4-BE49-F238E27FC236}">
              <a16:creationId xmlns:a16="http://schemas.microsoft.com/office/drawing/2014/main" id="{00000000-0008-0000-0400-00002A200000}"/>
            </a:ext>
          </a:extLst>
        </xdr:cNvPr>
        <xdr:cNvCxnSpPr/>
      </xdr:nvCxnSpPr>
      <xdr:spPr bwMode="auto">
        <a:xfrm>
          <a:off x="7534275" y="27641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10</xdr:row>
      <xdr:rowOff>34925</xdr:rowOff>
    </xdr:from>
    <xdr:to>
      <xdr:col>26</xdr:col>
      <xdr:colOff>9525</xdr:colOff>
      <xdr:row>11</xdr:row>
      <xdr:rowOff>0</xdr:rowOff>
    </xdr:to>
    <xdr:cxnSp macro="">
      <xdr:nvCxnSpPr>
        <xdr:cNvPr id="8235" name="Straight Connector 8234">
          <a:extLst>
            <a:ext uri="{FF2B5EF4-FFF2-40B4-BE49-F238E27FC236}">
              <a16:creationId xmlns:a16="http://schemas.microsoft.com/office/drawing/2014/main" id="{00000000-0008-0000-0400-00002B200000}"/>
            </a:ext>
          </a:extLst>
        </xdr:cNvPr>
        <xdr:cNvCxnSpPr/>
      </xdr:nvCxnSpPr>
      <xdr:spPr bwMode="auto">
        <a:xfrm flipV="1">
          <a:off x="7534275" y="16541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13</xdr:row>
      <xdr:rowOff>11430</xdr:rowOff>
    </xdr:from>
    <xdr:to>
      <xdr:col>26</xdr:col>
      <xdr:colOff>9525</xdr:colOff>
      <xdr:row>13</xdr:row>
      <xdr:rowOff>138430</xdr:rowOff>
    </xdr:to>
    <xdr:cxnSp macro="">
      <xdr:nvCxnSpPr>
        <xdr:cNvPr id="8236" name="Straight Connector 8235">
          <a:extLst>
            <a:ext uri="{FF2B5EF4-FFF2-40B4-BE49-F238E27FC236}">
              <a16:creationId xmlns:a16="http://schemas.microsoft.com/office/drawing/2014/main" id="{00000000-0008-0000-0400-00002C200000}"/>
            </a:ext>
          </a:extLst>
        </xdr:cNvPr>
        <xdr:cNvCxnSpPr/>
      </xdr:nvCxnSpPr>
      <xdr:spPr bwMode="auto">
        <a:xfrm>
          <a:off x="7534275" y="21164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6</xdr:row>
      <xdr:rowOff>34925</xdr:rowOff>
    </xdr:from>
    <xdr:to>
      <xdr:col>26</xdr:col>
      <xdr:colOff>9525</xdr:colOff>
      <xdr:row>7</xdr:row>
      <xdr:rowOff>0</xdr:rowOff>
    </xdr:to>
    <xdr:cxnSp macro="">
      <xdr:nvCxnSpPr>
        <xdr:cNvPr id="8237" name="Straight Connector 8236">
          <a:extLst>
            <a:ext uri="{FF2B5EF4-FFF2-40B4-BE49-F238E27FC236}">
              <a16:creationId xmlns:a16="http://schemas.microsoft.com/office/drawing/2014/main" id="{00000000-0008-0000-0400-00002D200000}"/>
            </a:ext>
          </a:extLst>
        </xdr:cNvPr>
        <xdr:cNvCxnSpPr/>
      </xdr:nvCxnSpPr>
      <xdr:spPr bwMode="auto">
        <a:xfrm flipV="1">
          <a:off x="7534275" y="10064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9</xdr:row>
      <xdr:rowOff>11430</xdr:rowOff>
    </xdr:from>
    <xdr:to>
      <xdr:col>26</xdr:col>
      <xdr:colOff>9525</xdr:colOff>
      <xdr:row>9</xdr:row>
      <xdr:rowOff>138430</xdr:rowOff>
    </xdr:to>
    <xdr:cxnSp macro="">
      <xdr:nvCxnSpPr>
        <xdr:cNvPr id="8238" name="Straight Connector 8237">
          <a:extLst>
            <a:ext uri="{FF2B5EF4-FFF2-40B4-BE49-F238E27FC236}">
              <a16:creationId xmlns:a16="http://schemas.microsoft.com/office/drawing/2014/main" id="{00000000-0008-0000-0400-00002E200000}"/>
            </a:ext>
          </a:extLst>
        </xdr:cNvPr>
        <xdr:cNvCxnSpPr/>
      </xdr:nvCxnSpPr>
      <xdr:spPr bwMode="auto">
        <a:xfrm>
          <a:off x="7534275" y="14687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</xdr:row>
      <xdr:rowOff>34925</xdr:rowOff>
    </xdr:from>
    <xdr:to>
      <xdr:col>26</xdr:col>
      <xdr:colOff>9525</xdr:colOff>
      <xdr:row>3</xdr:row>
      <xdr:rowOff>0</xdr:rowOff>
    </xdr:to>
    <xdr:cxnSp macro="">
      <xdr:nvCxnSpPr>
        <xdr:cNvPr id="8239" name="Straight Connector 8238">
          <a:extLst>
            <a:ext uri="{FF2B5EF4-FFF2-40B4-BE49-F238E27FC236}">
              <a16:creationId xmlns:a16="http://schemas.microsoft.com/office/drawing/2014/main" id="{00000000-0008-0000-0400-00002F200000}"/>
            </a:ext>
          </a:extLst>
        </xdr:cNvPr>
        <xdr:cNvCxnSpPr/>
      </xdr:nvCxnSpPr>
      <xdr:spPr bwMode="auto">
        <a:xfrm flipV="1">
          <a:off x="7534275" y="35877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240" name="Straight Connector 8239">
          <a:extLst>
            <a:ext uri="{FF2B5EF4-FFF2-40B4-BE49-F238E27FC236}">
              <a16:creationId xmlns:a16="http://schemas.microsoft.com/office/drawing/2014/main" id="{00000000-0008-0000-0400-000030200000}"/>
            </a:ext>
          </a:extLst>
        </xdr:cNvPr>
        <xdr:cNvCxnSpPr/>
      </xdr:nvCxnSpPr>
      <xdr:spPr bwMode="auto">
        <a:xfrm>
          <a:off x="7534275" y="821055"/>
          <a:ext cx="190500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241" name="Straight Connector 8240">
          <a:extLst>
            <a:ext uri="{FF2B5EF4-FFF2-40B4-BE49-F238E27FC236}">
              <a16:creationId xmlns:a16="http://schemas.microsoft.com/office/drawing/2014/main" id="{00000000-0008-0000-0400-00003120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242" name="Straight Connector 8241">
          <a:extLst>
            <a:ext uri="{FF2B5EF4-FFF2-40B4-BE49-F238E27FC236}">
              <a16:creationId xmlns:a16="http://schemas.microsoft.com/office/drawing/2014/main" id="{00000000-0008-0000-0400-00003220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243" name="Straight Connector 8242">
          <a:extLst>
            <a:ext uri="{FF2B5EF4-FFF2-40B4-BE49-F238E27FC236}">
              <a16:creationId xmlns:a16="http://schemas.microsoft.com/office/drawing/2014/main" id="{00000000-0008-0000-0400-00003320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244" name="Straight Connector 8243">
          <a:extLst>
            <a:ext uri="{FF2B5EF4-FFF2-40B4-BE49-F238E27FC236}">
              <a16:creationId xmlns:a16="http://schemas.microsoft.com/office/drawing/2014/main" id="{00000000-0008-0000-0400-00003420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245" name="Straight Connector 8244">
          <a:extLst>
            <a:ext uri="{FF2B5EF4-FFF2-40B4-BE49-F238E27FC236}">
              <a16:creationId xmlns:a16="http://schemas.microsoft.com/office/drawing/2014/main" id="{00000000-0008-0000-0400-00003520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246" name="Straight Connector 8245">
          <a:extLst>
            <a:ext uri="{FF2B5EF4-FFF2-40B4-BE49-F238E27FC236}">
              <a16:creationId xmlns:a16="http://schemas.microsoft.com/office/drawing/2014/main" id="{00000000-0008-0000-0400-00003620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247" name="Straight Connector 8246">
          <a:extLst>
            <a:ext uri="{FF2B5EF4-FFF2-40B4-BE49-F238E27FC236}">
              <a16:creationId xmlns:a16="http://schemas.microsoft.com/office/drawing/2014/main" id="{00000000-0008-0000-0400-000037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248" name="Straight Connector 8247">
          <a:extLst>
            <a:ext uri="{FF2B5EF4-FFF2-40B4-BE49-F238E27FC236}">
              <a16:creationId xmlns:a16="http://schemas.microsoft.com/office/drawing/2014/main" id="{00000000-0008-0000-0400-000038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249" name="Straight Connector 8248">
          <a:extLst>
            <a:ext uri="{FF2B5EF4-FFF2-40B4-BE49-F238E27FC236}">
              <a16:creationId xmlns:a16="http://schemas.microsoft.com/office/drawing/2014/main" id="{00000000-0008-0000-0400-000039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250" name="Straight Connector 8249">
          <a:extLst>
            <a:ext uri="{FF2B5EF4-FFF2-40B4-BE49-F238E27FC236}">
              <a16:creationId xmlns:a16="http://schemas.microsoft.com/office/drawing/2014/main" id="{00000000-0008-0000-0400-00003A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251" name="Straight Connector 8250">
          <a:extLst>
            <a:ext uri="{FF2B5EF4-FFF2-40B4-BE49-F238E27FC236}">
              <a16:creationId xmlns:a16="http://schemas.microsoft.com/office/drawing/2014/main" id="{00000000-0008-0000-0400-00003B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252" name="Straight Connector 8251">
          <a:extLst>
            <a:ext uri="{FF2B5EF4-FFF2-40B4-BE49-F238E27FC236}">
              <a16:creationId xmlns:a16="http://schemas.microsoft.com/office/drawing/2014/main" id="{00000000-0008-0000-0400-00003C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253" name="Straight Connector 8252">
          <a:extLst>
            <a:ext uri="{FF2B5EF4-FFF2-40B4-BE49-F238E27FC236}">
              <a16:creationId xmlns:a16="http://schemas.microsoft.com/office/drawing/2014/main" id="{00000000-0008-0000-0400-00003D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254" name="Straight Connector 8253">
          <a:extLst>
            <a:ext uri="{FF2B5EF4-FFF2-40B4-BE49-F238E27FC236}">
              <a16:creationId xmlns:a16="http://schemas.microsoft.com/office/drawing/2014/main" id="{00000000-0008-0000-0400-00003E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255" name="Straight Connector 8254">
          <a:extLst>
            <a:ext uri="{FF2B5EF4-FFF2-40B4-BE49-F238E27FC236}">
              <a16:creationId xmlns:a16="http://schemas.microsoft.com/office/drawing/2014/main" id="{00000000-0008-0000-0400-00003F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8256" name="Straight Connector 8255">
          <a:extLst>
            <a:ext uri="{FF2B5EF4-FFF2-40B4-BE49-F238E27FC236}">
              <a16:creationId xmlns:a16="http://schemas.microsoft.com/office/drawing/2014/main" id="{00000000-0008-0000-0400-000040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8257" name="Straight Connector 8256">
          <a:extLst>
            <a:ext uri="{FF2B5EF4-FFF2-40B4-BE49-F238E27FC236}">
              <a16:creationId xmlns:a16="http://schemas.microsoft.com/office/drawing/2014/main" id="{00000000-0008-0000-0400-000041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8258" name="Straight Connector 8257">
          <a:extLst>
            <a:ext uri="{FF2B5EF4-FFF2-40B4-BE49-F238E27FC236}">
              <a16:creationId xmlns:a16="http://schemas.microsoft.com/office/drawing/2014/main" id="{00000000-0008-0000-0400-000042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8259" name="Straight Connector 8258">
          <a:extLst>
            <a:ext uri="{FF2B5EF4-FFF2-40B4-BE49-F238E27FC236}">
              <a16:creationId xmlns:a16="http://schemas.microsoft.com/office/drawing/2014/main" id="{00000000-0008-0000-0400-000043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8260" name="Straight Connector 8259">
          <a:extLst>
            <a:ext uri="{FF2B5EF4-FFF2-40B4-BE49-F238E27FC236}">
              <a16:creationId xmlns:a16="http://schemas.microsoft.com/office/drawing/2014/main" id="{00000000-0008-0000-0400-000044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8261" name="Straight Connector 8260">
          <a:extLst>
            <a:ext uri="{FF2B5EF4-FFF2-40B4-BE49-F238E27FC236}">
              <a16:creationId xmlns:a16="http://schemas.microsoft.com/office/drawing/2014/main" id="{00000000-0008-0000-0400-000045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8262" name="Straight Connector 8261">
          <a:extLst>
            <a:ext uri="{FF2B5EF4-FFF2-40B4-BE49-F238E27FC236}">
              <a16:creationId xmlns:a16="http://schemas.microsoft.com/office/drawing/2014/main" id="{00000000-0008-0000-0400-000046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8263" name="Straight Connector 8262">
          <a:extLst>
            <a:ext uri="{FF2B5EF4-FFF2-40B4-BE49-F238E27FC236}">
              <a16:creationId xmlns:a16="http://schemas.microsoft.com/office/drawing/2014/main" id="{00000000-0008-0000-0400-000047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8264" name="Straight Connector 8263">
          <a:extLst>
            <a:ext uri="{FF2B5EF4-FFF2-40B4-BE49-F238E27FC236}">
              <a16:creationId xmlns:a16="http://schemas.microsoft.com/office/drawing/2014/main" id="{00000000-0008-0000-0400-000048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8265" name="Straight Connector 8264">
          <a:extLst>
            <a:ext uri="{FF2B5EF4-FFF2-40B4-BE49-F238E27FC236}">
              <a16:creationId xmlns:a16="http://schemas.microsoft.com/office/drawing/2014/main" id="{00000000-0008-0000-0400-000049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8266" name="Straight Connector 8265">
          <a:extLst>
            <a:ext uri="{FF2B5EF4-FFF2-40B4-BE49-F238E27FC236}">
              <a16:creationId xmlns:a16="http://schemas.microsoft.com/office/drawing/2014/main" id="{00000000-0008-0000-0400-00004A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8267" name="Straight Connector 8266">
          <a:extLst>
            <a:ext uri="{FF2B5EF4-FFF2-40B4-BE49-F238E27FC236}">
              <a16:creationId xmlns:a16="http://schemas.microsoft.com/office/drawing/2014/main" id="{00000000-0008-0000-0400-00004B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8268" name="Straight Connector 8267">
          <a:extLst>
            <a:ext uri="{FF2B5EF4-FFF2-40B4-BE49-F238E27FC236}">
              <a16:creationId xmlns:a16="http://schemas.microsoft.com/office/drawing/2014/main" id="{00000000-0008-0000-0400-00004C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19</xdr:row>
      <xdr:rowOff>11430</xdr:rowOff>
    </xdr:from>
    <xdr:to>
      <xdr:col>12</xdr:col>
      <xdr:colOff>9525</xdr:colOff>
      <xdr:row>19</xdr:row>
      <xdr:rowOff>138430</xdr:rowOff>
    </xdr:to>
    <xdr:cxnSp macro="">
      <xdr:nvCxnSpPr>
        <xdr:cNvPr id="8269" name="Straight Connector 8268">
          <a:extLst>
            <a:ext uri="{FF2B5EF4-FFF2-40B4-BE49-F238E27FC236}">
              <a16:creationId xmlns:a16="http://schemas.microsoft.com/office/drawing/2014/main" id="{00000000-0008-0000-0400-00004D200000}"/>
            </a:ext>
          </a:extLst>
        </xdr:cNvPr>
        <xdr:cNvCxnSpPr/>
      </xdr:nvCxnSpPr>
      <xdr:spPr bwMode="auto">
        <a:xfrm>
          <a:off x="6448425" y="34118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17</xdr:row>
      <xdr:rowOff>11430</xdr:rowOff>
    </xdr:from>
    <xdr:to>
      <xdr:col>14</xdr:col>
      <xdr:colOff>9525</xdr:colOff>
      <xdr:row>17</xdr:row>
      <xdr:rowOff>138430</xdr:rowOff>
    </xdr:to>
    <xdr:cxnSp macro="">
      <xdr:nvCxnSpPr>
        <xdr:cNvPr id="8270" name="Straight Connector 8269">
          <a:extLst>
            <a:ext uri="{FF2B5EF4-FFF2-40B4-BE49-F238E27FC236}">
              <a16:creationId xmlns:a16="http://schemas.microsoft.com/office/drawing/2014/main" id="{00000000-0008-0000-0400-00004E200000}"/>
            </a:ext>
          </a:extLst>
        </xdr:cNvPr>
        <xdr:cNvCxnSpPr/>
      </xdr:nvCxnSpPr>
      <xdr:spPr bwMode="auto">
        <a:xfrm>
          <a:off x="7667625" y="30880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17</xdr:row>
      <xdr:rowOff>11430</xdr:rowOff>
    </xdr:from>
    <xdr:to>
      <xdr:col>14</xdr:col>
      <xdr:colOff>9525</xdr:colOff>
      <xdr:row>17</xdr:row>
      <xdr:rowOff>138430</xdr:rowOff>
    </xdr:to>
    <xdr:cxnSp macro="">
      <xdr:nvCxnSpPr>
        <xdr:cNvPr id="8271" name="Straight Connector 8270">
          <a:extLst>
            <a:ext uri="{FF2B5EF4-FFF2-40B4-BE49-F238E27FC236}">
              <a16:creationId xmlns:a16="http://schemas.microsoft.com/office/drawing/2014/main" id="{00000000-0008-0000-0400-00004F200000}"/>
            </a:ext>
          </a:extLst>
        </xdr:cNvPr>
        <xdr:cNvCxnSpPr/>
      </xdr:nvCxnSpPr>
      <xdr:spPr bwMode="auto">
        <a:xfrm>
          <a:off x="7667625" y="30880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15</xdr:row>
      <xdr:rowOff>11430</xdr:rowOff>
    </xdr:from>
    <xdr:to>
      <xdr:col>16</xdr:col>
      <xdr:colOff>9525</xdr:colOff>
      <xdr:row>15</xdr:row>
      <xdr:rowOff>138430</xdr:rowOff>
    </xdr:to>
    <xdr:cxnSp macro="">
      <xdr:nvCxnSpPr>
        <xdr:cNvPr id="8272" name="Straight Connector 8271">
          <a:extLst>
            <a:ext uri="{FF2B5EF4-FFF2-40B4-BE49-F238E27FC236}">
              <a16:creationId xmlns:a16="http://schemas.microsoft.com/office/drawing/2014/main" id="{00000000-0008-0000-0400-000050200000}"/>
            </a:ext>
          </a:extLst>
        </xdr:cNvPr>
        <xdr:cNvCxnSpPr/>
      </xdr:nvCxnSpPr>
      <xdr:spPr bwMode="auto">
        <a:xfrm>
          <a:off x="8886825" y="27641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15</xdr:row>
      <xdr:rowOff>11430</xdr:rowOff>
    </xdr:from>
    <xdr:to>
      <xdr:col>16</xdr:col>
      <xdr:colOff>9525</xdr:colOff>
      <xdr:row>15</xdr:row>
      <xdr:rowOff>138430</xdr:rowOff>
    </xdr:to>
    <xdr:cxnSp macro="">
      <xdr:nvCxnSpPr>
        <xdr:cNvPr id="8273" name="Straight Connector 8272">
          <a:extLst>
            <a:ext uri="{FF2B5EF4-FFF2-40B4-BE49-F238E27FC236}">
              <a16:creationId xmlns:a16="http://schemas.microsoft.com/office/drawing/2014/main" id="{00000000-0008-0000-0400-000051200000}"/>
            </a:ext>
          </a:extLst>
        </xdr:cNvPr>
        <xdr:cNvCxnSpPr/>
      </xdr:nvCxnSpPr>
      <xdr:spPr bwMode="auto">
        <a:xfrm>
          <a:off x="8886825" y="27641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15</xdr:row>
      <xdr:rowOff>11430</xdr:rowOff>
    </xdr:from>
    <xdr:to>
      <xdr:col>16</xdr:col>
      <xdr:colOff>9525</xdr:colOff>
      <xdr:row>15</xdr:row>
      <xdr:rowOff>138430</xdr:rowOff>
    </xdr:to>
    <xdr:cxnSp macro="">
      <xdr:nvCxnSpPr>
        <xdr:cNvPr id="8274" name="Straight Connector 8273">
          <a:extLst>
            <a:ext uri="{FF2B5EF4-FFF2-40B4-BE49-F238E27FC236}">
              <a16:creationId xmlns:a16="http://schemas.microsoft.com/office/drawing/2014/main" id="{00000000-0008-0000-0400-000052200000}"/>
            </a:ext>
          </a:extLst>
        </xdr:cNvPr>
        <xdr:cNvCxnSpPr/>
      </xdr:nvCxnSpPr>
      <xdr:spPr bwMode="auto">
        <a:xfrm>
          <a:off x="8886825" y="27641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13</xdr:row>
      <xdr:rowOff>11430</xdr:rowOff>
    </xdr:from>
    <xdr:to>
      <xdr:col>18</xdr:col>
      <xdr:colOff>9525</xdr:colOff>
      <xdr:row>13</xdr:row>
      <xdr:rowOff>138430</xdr:rowOff>
    </xdr:to>
    <xdr:cxnSp macro="">
      <xdr:nvCxnSpPr>
        <xdr:cNvPr id="8275" name="Straight Connector 8274">
          <a:extLst>
            <a:ext uri="{FF2B5EF4-FFF2-40B4-BE49-F238E27FC236}">
              <a16:creationId xmlns:a16="http://schemas.microsoft.com/office/drawing/2014/main" id="{00000000-0008-0000-0400-000053200000}"/>
            </a:ext>
          </a:extLst>
        </xdr:cNvPr>
        <xdr:cNvCxnSpPr/>
      </xdr:nvCxnSpPr>
      <xdr:spPr bwMode="auto">
        <a:xfrm>
          <a:off x="10106025" y="24403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13</xdr:row>
      <xdr:rowOff>11430</xdr:rowOff>
    </xdr:from>
    <xdr:to>
      <xdr:col>18</xdr:col>
      <xdr:colOff>9525</xdr:colOff>
      <xdr:row>13</xdr:row>
      <xdr:rowOff>138430</xdr:rowOff>
    </xdr:to>
    <xdr:cxnSp macro="">
      <xdr:nvCxnSpPr>
        <xdr:cNvPr id="8276" name="Straight Connector 8275">
          <a:extLst>
            <a:ext uri="{FF2B5EF4-FFF2-40B4-BE49-F238E27FC236}">
              <a16:creationId xmlns:a16="http://schemas.microsoft.com/office/drawing/2014/main" id="{00000000-0008-0000-0400-000054200000}"/>
            </a:ext>
          </a:extLst>
        </xdr:cNvPr>
        <xdr:cNvCxnSpPr/>
      </xdr:nvCxnSpPr>
      <xdr:spPr bwMode="auto">
        <a:xfrm>
          <a:off x="10106025" y="24403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13</xdr:row>
      <xdr:rowOff>11430</xdr:rowOff>
    </xdr:from>
    <xdr:to>
      <xdr:col>18</xdr:col>
      <xdr:colOff>9525</xdr:colOff>
      <xdr:row>13</xdr:row>
      <xdr:rowOff>138430</xdr:rowOff>
    </xdr:to>
    <xdr:cxnSp macro="">
      <xdr:nvCxnSpPr>
        <xdr:cNvPr id="8277" name="Straight Connector 8276">
          <a:extLst>
            <a:ext uri="{FF2B5EF4-FFF2-40B4-BE49-F238E27FC236}">
              <a16:creationId xmlns:a16="http://schemas.microsoft.com/office/drawing/2014/main" id="{00000000-0008-0000-0400-000055200000}"/>
            </a:ext>
          </a:extLst>
        </xdr:cNvPr>
        <xdr:cNvCxnSpPr/>
      </xdr:nvCxnSpPr>
      <xdr:spPr bwMode="auto">
        <a:xfrm>
          <a:off x="10106025" y="24403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13</xdr:row>
      <xdr:rowOff>11430</xdr:rowOff>
    </xdr:from>
    <xdr:to>
      <xdr:col>18</xdr:col>
      <xdr:colOff>9525</xdr:colOff>
      <xdr:row>13</xdr:row>
      <xdr:rowOff>138430</xdr:rowOff>
    </xdr:to>
    <xdr:cxnSp macro="">
      <xdr:nvCxnSpPr>
        <xdr:cNvPr id="8278" name="Straight Connector 8277">
          <a:extLst>
            <a:ext uri="{FF2B5EF4-FFF2-40B4-BE49-F238E27FC236}">
              <a16:creationId xmlns:a16="http://schemas.microsoft.com/office/drawing/2014/main" id="{00000000-0008-0000-0400-000056200000}"/>
            </a:ext>
          </a:extLst>
        </xdr:cNvPr>
        <xdr:cNvCxnSpPr/>
      </xdr:nvCxnSpPr>
      <xdr:spPr bwMode="auto">
        <a:xfrm>
          <a:off x="10106025" y="24403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8279" name="Straight Connector 8278">
          <a:extLst>
            <a:ext uri="{FF2B5EF4-FFF2-40B4-BE49-F238E27FC236}">
              <a16:creationId xmlns:a16="http://schemas.microsoft.com/office/drawing/2014/main" id="{00000000-0008-0000-0400-000057200000}"/>
            </a:ext>
          </a:extLst>
        </xdr:cNvPr>
        <xdr:cNvCxnSpPr/>
      </xdr:nvCxnSpPr>
      <xdr:spPr bwMode="auto">
        <a:xfrm>
          <a:off x="113252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8280" name="Straight Connector 8279">
          <a:extLst>
            <a:ext uri="{FF2B5EF4-FFF2-40B4-BE49-F238E27FC236}">
              <a16:creationId xmlns:a16="http://schemas.microsoft.com/office/drawing/2014/main" id="{00000000-0008-0000-0400-000058200000}"/>
            </a:ext>
          </a:extLst>
        </xdr:cNvPr>
        <xdr:cNvCxnSpPr/>
      </xdr:nvCxnSpPr>
      <xdr:spPr bwMode="auto">
        <a:xfrm>
          <a:off x="113252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8281" name="Straight Connector 8280">
          <a:extLst>
            <a:ext uri="{FF2B5EF4-FFF2-40B4-BE49-F238E27FC236}">
              <a16:creationId xmlns:a16="http://schemas.microsoft.com/office/drawing/2014/main" id="{00000000-0008-0000-0400-000059200000}"/>
            </a:ext>
          </a:extLst>
        </xdr:cNvPr>
        <xdr:cNvCxnSpPr/>
      </xdr:nvCxnSpPr>
      <xdr:spPr bwMode="auto">
        <a:xfrm>
          <a:off x="113252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8282" name="Straight Connector 8281">
          <a:extLst>
            <a:ext uri="{FF2B5EF4-FFF2-40B4-BE49-F238E27FC236}">
              <a16:creationId xmlns:a16="http://schemas.microsoft.com/office/drawing/2014/main" id="{00000000-0008-0000-0400-00005A200000}"/>
            </a:ext>
          </a:extLst>
        </xdr:cNvPr>
        <xdr:cNvCxnSpPr/>
      </xdr:nvCxnSpPr>
      <xdr:spPr bwMode="auto">
        <a:xfrm>
          <a:off x="113252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8283" name="Straight Connector 8282">
          <a:extLst>
            <a:ext uri="{FF2B5EF4-FFF2-40B4-BE49-F238E27FC236}">
              <a16:creationId xmlns:a16="http://schemas.microsoft.com/office/drawing/2014/main" id="{00000000-0008-0000-0400-00005B200000}"/>
            </a:ext>
          </a:extLst>
        </xdr:cNvPr>
        <xdr:cNvCxnSpPr/>
      </xdr:nvCxnSpPr>
      <xdr:spPr bwMode="auto">
        <a:xfrm>
          <a:off x="113252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8284" name="Straight Connector 8283">
          <a:extLst>
            <a:ext uri="{FF2B5EF4-FFF2-40B4-BE49-F238E27FC236}">
              <a16:creationId xmlns:a16="http://schemas.microsoft.com/office/drawing/2014/main" id="{00000000-0008-0000-0400-00005C2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8285" name="Straight Connector 8284">
          <a:extLst>
            <a:ext uri="{FF2B5EF4-FFF2-40B4-BE49-F238E27FC236}">
              <a16:creationId xmlns:a16="http://schemas.microsoft.com/office/drawing/2014/main" id="{00000000-0008-0000-0400-00005D2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8286" name="Straight Connector 8285">
          <a:extLst>
            <a:ext uri="{FF2B5EF4-FFF2-40B4-BE49-F238E27FC236}">
              <a16:creationId xmlns:a16="http://schemas.microsoft.com/office/drawing/2014/main" id="{00000000-0008-0000-0400-00005E2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8287" name="Straight Connector 8286">
          <a:extLst>
            <a:ext uri="{FF2B5EF4-FFF2-40B4-BE49-F238E27FC236}">
              <a16:creationId xmlns:a16="http://schemas.microsoft.com/office/drawing/2014/main" id="{00000000-0008-0000-0400-00005F2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8288" name="Straight Connector 8287">
          <a:extLst>
            <a:ext uri="{FF2B5EF4-FFF2-40B4-BE49-F238E27FC236}">
              <a16:creationId xmlns:a16="http://schemas.microsoft.com/office/drawing/2014/main" id="{00000000-0008-0000-0400-0000602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8289" name="Straight Connector 8288">
          <a:extLst>
            <a:ext uri="{FF2B5EF4-FFF2-40B4-BE49-F238E27FC236}">
              <a16:creationId xmlns:a16="http://schemas.microsoft.com/office/drawing/2014/main" id="{00000000-0008-0000-0400-0000612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290" name="Straight Connector 8289">
          <a:extLst>
            <a:ext uri="{FF2B5EF4-FFF2-40B4-BE49-F238E27FC236}">
              <a16:creationId xmlns:a16="http://schemas.microsoft.com/office/drawing/2014/main" id="{00000000-0008-0000-0400-000062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291" name="Straight Connector 8290">
          <a:extLst>
            <a:ext uri="{FF2B5EF4-FFF2-40B4-BE49-F238E27FC236}">
              <a16:creationId xmlns:a16="http://schemas.microsoft.com/office/drawing/2014/main" id="{00000000-0008-0000-0400-000063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292" name="Straight Connector 8291">
          <a:extLst>
            <a:ext uri="{FF2B5EF4-FFF2-40B4-BE49-F238E27FC236}">
              <a16:creationId xmlns:a16="http://schemas.microsoft.com/office/drawing/2014/main" id="{00000000-0008-0000-0400-000064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293" name="Straight Connector 8292">
          <a:extLst>
            <a:ext uri="{FF2B5EF4-FFF2-40B4-BE49-F238E27FC236}">
              <a16:creationId xmlns:a16="http://schemas.microsoft.com/office/drawing/2014/main" id="{00000000-0008-0000-0400-000065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294" name="Straight Connector 8293">
          <a:extLst>
            <a:ext uri="{FF2B5EF4-FFF2-40B4-BE49-F238E27FC236}">
              <a16:creationId xmlns:a16="http://schemas.microsoft.com/office/drawing/2014/main" id="{00000000-0008-0000-0400-000066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295" name="Straight Connector 8294">
          <a:extLst>
            <a:ext uri="{FF2B5EF4-FFF2-40B4-BE49-F238E27FC236}">
              <a16:creationId xmlns:a16="http://schemas.microsoft.com/office/drawing/2014/main" id="{00000000-0008-0000-0400-000067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296" name="Straight Connector 8295">
          <a:extLst>
            <a:ext uri="{FF2B5EF4-FFF2-40B4-BE49-F238E27FC236}">
              <a16:creationId xmlns:a16="http://schemas.microsoft.com/office/drawing/2014/main" id="{00000000-0008-0000-0400-000068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297" name="Straight Connector 8296">
          <a:extLst>
            <a:ext uri="{FF2B5EF4-FFF2-40B4-BE49-F238E27FC236}">
              <a16:creationId xmlns:a16="http://schemas.microsoft.com/office/drawing/2014/main" id="{00000000-0008-0000-0400-000069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298" name="Straight Connector 8297">
          <a:extLst>
            <a:ext uri="{FF2B5EF4-FFF2-40B4-BE49-F238E27FC236}">
              <a16:creationId xmlns:a16="http://schemas.microsoft.com/office/drawing/2014/main" id="{00000000-0008-0000-0400-00006A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299" name="Straight Connector 8298">
          <a:extLst>
            <a:ext uri="{FF2B5EF4-FFF2-40B4-BE49-F238E27FC236}">
              <a16:creationId xmlns:a16="http://schemas.microsoft.com/office/drawing/2014/main" id="{00000000-0008-0000-0400-00006B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00" name="Straight Connector 8299">
          <a:extLst>
            <a:ext uri="{FF2B5EF4-FFF2-40B4-BE49-F238E27FC236}">
              <a16:creationId xmlns:a16="http://schemas.microsoft.com/office/drawing/2014/main" id="{00000000-0008-0000-0400-00006C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01" name="Straight Connector 8300">
          <a:extLst>
            <a:ext uri="{FF2B5EF4-FFF2-40B4-BE49-F238E27FC236}">
              <a16:creationId xmlns:a16="http://schemas.microsoft.com/office/drawing/2014/main" id="{00000000-0008-0000-0400-00006D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02" name="Straight Connector 8301">
          <a:extLst>
            <a:ext uri="{FF2B5EF4-FFF2-40B4-BE49-F238E27FC236}">
              <a16:creationId xmlns:a16="http://schemas.microsoft.com/office/drawing/2014/main" id="{00000000-0008-0000-0400-00006E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03" name="Straight Connector 8302">
          <a:extLst>
            <a:ext uri="{FF2B5EF4-FFF2-40B4-BE49-F238E27FC236}">
              <a16:creationId xmlns:a16="http://schemas.microsoft.com/office/drawing/2014/main" id="{00000000-0008-0000-0400-00006F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04" name="Straight Connector 8303">
          <a:extLst>
            <a:ext uri="{FF2B5EF4-FFF2-40B4-BE49-F238E27FC236}">
              <a16:creationId xmlns:a16="http://schemas.microsoft.com/office/drawing/2014/main" id="{00000000-0008-0000-0400-000070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27</xdr:row>
      <xdr:rowOff>11430</xdr:rowOff>
    </xdr:from>
    <xdr:to>
      <xdr:col>16</xdr:col>
      <xdr:colOff>9525</xdr:colOff>
      <xdr:row>27</xdr:row>
      <xdr:rowOff>138430</xdr:rowOff>
    </xdr:to>
    <xdr:cxnSp macro="">
      <xdr:nvCxnSpPr>
        <xdr:cNvPr id="8307" name="Straight Connector 8306">
          <a:extLst>
            <a:ext uri="{FF2B5EF4-FFF2-40B4-BE49-F238E27FC236}">
              <a16:creationId xmlns:a16="http://schemas.microsoft.com/office/drawing/2014/main" id="{00000000-0008-0000-0400-000073200000}"/>
            </a:ext>
          </a:extLst>
        </xdr:cNvPr>
        <xdr:cNvCxnSpPr/>
      </xdr:nvCxnSpPr>
      <xdr:spPr bwMode="auto">
        <a:xfrm>
          <a:off x="88868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29</xdr:row>
      <xdr:rowOff>11430</xdr:rowOff>
    </xdr:from>
    <xdr:to>
      <xdr:col>18</xdr:col>
      <xdr:colOff>9525</xdr:colOff>
      <xdr:row>29</xdr:row>
      <xdr:rowOff>138430</xdr:rowOff>
    </xdr:to>
    <xdr:cxnSp macro="">
      <xdr:nvCxnSpPr>
        <xdr:cNvPr id="8308" name="Straight Connector 8307">
          <a:extLst>
            <a:ext uri="{FF2B5EF4-FFF2-40B4-BE49-F238E27FC236}">
              <a16:creationId xmlns:a16="http://schemas.microsoft.com/office/drawing/2014/main" id="{00000000-0008-0000-0400-000074200000}"/>
            </a:ext>
          </a:extLst>
        </xdr:cNvPr>
        <xdr:cNvCxnSpPr/>
      </xdr:nvCxnSpPr>
      <xdr:spPr bwMode="auto">
        <a:xfrm>
          <a:off x="101060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29</xdr:row>
      <xdr:rowOff>11430</xdr:rowOff>
    </xdr:from>
    <xdr:to>
      <xdr:col>18</xdr:col>
      <xdr:colOff>9525</xdr:colOff>
      <xdr:row>29</xdr:row>
      <xdr:rowOff>138430</xdr:rowOff>
    </xdr:to>
    <xdr:cxnSp macro="">
      <xdr:nvCxnSpPr>
        <xdr:cNvPr id="8309" name="Straight Connector 8308">
          <a:extLst>
            <a:ext uri="{FF2B5EF4-FFF2-40B4-BE49-F238E27FC236}">
              <a16:creationId xmlns:a16="http://schemas.microsoft.com/office/drawing/2014/main" id="{00000000-0008-0000-0400-000075200000}"/>
            </a:ext>
          </a:extLst>
        </xdr:cNvPr>
        <xdr:cNvCxnSpPr/>
      </xdr:nvCxnSpPr>
      <xdr:spPr bwMode="auto">
        <a:xfrm>
          <a:off x="101060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8310" name="Straight Connector 8309">
          <a:extLst>
            <a:ext uri="{FF2B5EF4-FFF2-40B4-BE49-F238E27FC236}">
              <a16:creationId xmlns:a16="http://schemas.microsoft.com/office/drawing/2014/main" id="{00000000-0008-0000-0400-000076200000}"/>
            </a:ext>
          </a:extLst>
        </xdr:cNvPr>
        <xdr:cNvCxnSpPr/>
      </xdr:nvCxnSpPr>
      <xdr:spPr bwMode="auto">
        <a:xfrm>
          <a:off x="113252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8311" name="Straight Connector 8310">
          <a:extLst>
            <a:ext uri="{FF2B5EF4-FFF2-40B4-BE49-F238E27FC236}">
              <a16:creationId xmlns:a16="http://schemas.microsoft.com/office/drawing/2014/main" id="{00000000-0008-0000-0400-000077200000}"/>
            </a:ext>
          </a:extLst>
        </xdr:cNvPr>
        <xdr:cNvCxnSpPr/>
      </xdr:nvCxnSpPr>
      <xdr:spPr bwMode="auto">
        <a:xfrm>
          <a:off x="113252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8312" name="Straight Connector 8311">
          <a:extLst>
            <a:ext uri="{FF2B5EF4-FFF2-40B4-BE49-F238E27FC236}">
              <a16:creationId xmlns:a16="http://schemas.microsoft.com/office/drawing/2014/main" id="{00000000-0008-0000-0400-000078200000}"/>
            </a:ext>
          </a:extLst>
        </xdr:cNvPr>
        <xdr:cNvCxnSpPr/>
      </xdr:nvCxnSpPr>
      <xdr:spPr bwMode="auto">
        <a:xfrm>
          <a:off x="113252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13" name="Straight Connector 8312">
          <a:extLst>
            <a:ext uri="{FF2B5EF4-FFF2-40B4-BE49-F238E27FC236}">
              <a16:creationId xmlns:a16="http://schemas.microsoft.com/office/drawing/2014/main" id="{00000000-0008-0000-0400-000079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14" name="Straight Connector 8313">
          <a:extLst>
            <a:ext uri="{FF2B5EF4-FFF2-40B4-BE49-F238E27FC236}">
              <a16:creationId xmlns:a16="http://schemas.microsoft.com/office/drawing/2014/main" id="{00000000-0008-0000-0400-00007A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15" name="Straight Connector 8314">
          <a:extLst>
            <a:ext uri="{FF2B5EF4-FFF2-40B4-BE49-F238E27FC236}">
              <a16:creationId xmlns:a16="http://schemas.microsoft.com/office/drawing/2014/main" id="{00000000-0008-0000-0400-00007B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16" name="Straight Connector 8315">
          <a:extLst>
            <a:ext uri="{FF2B5EF4-FFF2-40B4-BE49-F238E27FC236}">
              <a16:creationId xmlns:a16="http://schemas.microsoft.com/office/drawing/2014/main" id="{00000000-0008-0000-0400-00007C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17" name="Straight Connector 8316">
          <a:extLst>
            <a:ext uri="{FF2B5EF4-FFF2-40B4-BE49-F238E27FC236}">
              <a16:creationId xmlns:a16="http://schemas.microsoft.com/office/drawing/2014/main" id="{00000000-0008-0000-0400-00007D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18" name="Straight Connector 8317">
          <a:extLst>
            <a:ext uri="{FF2B5EF4-FFF2-40B4-BE49-F238E27FC236}">
              <a16:creationId xmlns:a16="http://schemas.microsoft.com/office/drawing/2014/main" id="{00000000-0008-0000-0400-00007E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19" name="Straight Connector 8318">
          <a:extLst>
            <a:ext uri="{FF2B5EF4-FFF2-40B4-BE49-F238E27FC236}">
              <a16:creationId xmlns:a16="http://schemas.microsoft.com/office/drawing/2014/main" id="{00000000-0008-0000-0400-00007F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20" name="Straight Connector 8319">
          <a:extLst>
            <a:ext uri="{FF2B5EF4-FFF2-40B4-BE49-F238E27FC236}">
              <a16:creationId xmlns:a16="http://schemas.microsoft.com/office/drawing/2014/main" id="{00000000-0008-0000-0400-000080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21" name="Straight Connector 8320">
          <a:extLst>
            <a:ext uri="{FF2B5EF4-FFF2-40B4-BE49-F238E27FC236}">
              <a16:creationId xmlns:a16="http://schemas.microsoft.com/office/drawing/2014/main" id="{00000000-0008-0000-0400-000081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22" name="Straight Connector 8321">
          <a:extLst>
            <a:ext uri="{FF2B5EF4-FFF2-40B4-BE49-F238E27FC236}">
              <a16:creationId xmlns:a16="http://schemas.microsoft.com/office/drawing/2014/main" id="{00000000-0008-0000-0400-000082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23" name="Straight Connector 8322">
          <a:extLst>
            <a:ext uri="{FF2B5EF4-FFF2-40B4-BE49-F238E27FC236}">
              <a16:creationId xmlns:a16="http://schemas.microsoft.com/office/drawing/2014/main" id="{00000000-0008-0000-0400-000083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24" name="Straight Connector 8323">
          <a:extLst>
            <a:ext uri="{FF2B5EF4-FFF2-40B4-BE49-F238E27FC236}">
              <a16:creationId xmlns:a16="http://schemas.microsoft.com/office/drawing/2014/main" id="{00000000-0008-0000-0400-000084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25" name="Straight Connector 8324">
          <a:extLst>
            <a:ext uri="{FF2B5EF4-FFF2-40B4-BE49-F238E27FC236}">
              <a16:creationId xmlns:a16="http://schemas.microsoft.com/office/drawing/2014/main" id="{00000000-0008-0000-0400-000085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26" name="Straight Connector 8325">
          <a:extLst>
            <a:ext uri="{FF2B5EF4-FFF2-40B4-BE49-F238E27FC236}">
              <a16:creationId xmlns:a16="http://schemas.microsoft.com/office/drawing/2014/main" id="{00000000-0008-0000-0400-000086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27" name="Straight Connector 8326">
          <a:extLst>
            <a:ext uri="{FF2B5EF4-FFF2-40B4-BE49-F238E27FC236}">
              <a16:creationId xmlns:a16="http://schemas.microsoft.com/office/drawing/2014/main" id="{00000000-0008-0000-0400-000087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328" name="Straight Connector 8327">
          <a:extLst>
            <a:ext uri="{FF2B5EF4-FFF2-40B4-BE49-F238E27FC236}">
              <a16:creationId xmlns:a16="http://schemas.microsoft.com/office/drawing/2014/main" id="{00000000-0008-0000-0400-000088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329" name="Straight Connector 8328">
          <a:extLst>
            <a:ext uri="{FF2B5EF4-FFF2-40B4-BE49-F238E27FC236}">
              <a16:creationId xmlns:a16="http://schemas.microsoft.com/office/drawing/2014/main" id="{00000000-0008-0000-0400-000089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330" name="Straight Connector 8329">
          <a:extLst>
            <a:ext uri="{FF2B5EF4-FFF2-40B4-BE49-F238E27FC236}">
              <a16:creationId xmlns:a16="http://schemas.microsoft.com/office/drawing/2014/main" id="{00000000-0008-0000-0400-00008A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331" name="Straight Connector 8330">
          <a:extLst>
            <a:ext uri="{FF2B5EF4-FFF2-40B4-BE49-F238E27FC236}">
              <a16:creationId xmlns:a16="http://schemas.microsoft.com/office/drawing/2014/main" id="{00000000-0008-0000-0400-00008B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332" name="Straight Connector 8331">
          <a:extLst>
            <a:ext uri="{FF2B5EF4-FFF2-40B4-BE49-F238E27FC236}">
              <a16:creationId xmlns:a16="http://schemas.microsoft.com/office/drawing/2014/main" id="{00000000-0008-0000-0400-00008C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333" name="Straight Connector 8332">
          <a:extLst>
            <a:ext uri="{FF2B5EF4-FFF2-40B4-BE49-F238E27FC236}">
              <a16:creationId xmlns:a16="http://schemas.microsoft.com/office/drawing/2014/main" id="{00000000-0008-0000-0400-00008D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8334" name="Straight Connector 8333">
          <a:extLst>
            <a:ext uri="{FF2B5EF4-FFF2-40B4-BE49-F238E27FC236}">
              <a16:creationId xmlns:a16="http://schemas.microsoft.com/office/drawing/2014/main" id="{00000000-0008-0000-0400-00008E2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35" name="Straight Connector 8334">
          <a:extLst>
            <a:ext uri="{FF2B5EF4-FFF2-40B4-BE49-F238E27FC236}">
              <a16:creationId xmlns:a16="http://schemas.microsoft.com/office/drawing/2014/main" id="{00000000-0008-0000-0400-00008F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36" name="Straight Connector 8335">
          <a:extLst>
            <a:ext uri="{FF2B5EF4-FFF2-40B4-BE49-F238E27FC236}">
              <a16:creationId xmlns:a16="http://schemas.microsoft.com/office/drawing/2014/main" id="{00000000-0008-0000-0400-000090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37" name="Straight Connector 8336">
          <a:extLst>
            <a:ext uri="{FF2B5EF4-FFF2-40B4-BE49-F238E27FC236}">
              <a16:creationId xmlns:a16="http://schemas.microsoft.com/office/drawing/2014/main" id="{00000000-0008-0000-0400-000091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38" name="Straight Connector 8337">
          <a:extLst>
            <a:ext uri="{FF2B5EF4-FFF2-40B4-BE49-F238E27FC236}">
              <a16:creationId xmlns:a16="http://schemas.microsoft.com/office/drawing/2014/main" id="{00000000-0008-0000-0400-000092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39" name="Straight Connector 8338">
          <a:extLst>
            <a:ext uri="{FF2B5EF4-FFF2-40B4-BE49-F238E27FC236}">
              <a16:creationId xmlns:a16="http://schemas.microsoft.com/office/drawing/2014/main" id="{00000000-0008-0000-0400-000093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40" name="Straight Connector 8339">
          <a:extLst>
            <a:ext uri="{FF2B5EF4-FFF2-40B4-BE49-F238E27FC236}">
              <a16:creationId xmlns:a16="http://schemas.microsoft.com/office/drawing/2014/main" id="{00000000-0008-0000-0400-000094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41" name="Straight Connector 8340">
          <a:extLst>
            <a:ext uri="{FF2B5EF4-FFF2-40B4-BE49-F238E27FC236}">
              <a16:creationId xmlns:a16="http://schemas.microsoft.com/office/drawing/2014/main" id="{00000000-0008-0000-0400-000095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42" name="Straight Connector 8341">
          <a:extLst>
            <a:ext uri="{FF2B5EF4-FFF2-40B4-BE49-F238E27FC236}">
              <a16:creationId xmlns:a16="http://schemas.microsoft.com/office/drawing/2014/main" id="{00000000-0008-0000-0400-000096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43" name="Straight Connector 8342">
          <a:extLst>
            <a:ext uri="{FF2B5EF4-FFF2-40B4-BE49-F238E27FC236}">
              <a16:creationId xmlns:a16="http://schemas.microsoft.com/office/drawing/2014/main" id="{00000000-0008-0000-0400-000097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44" name="Straight Connector 8343">
          <a:extLst>
            <a:ext uri="{FF2B5EF4-FFF2-40B4-BE49-F238E27FC236}">
              <a16:creationId xmlns:a16="http://schemas.microsoft.com/office/drawing/2014/main" id="{00000000-0008-0000-0400-000098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45" name="Straight Connector 8344">
          <a:extLst>
            <a:ext uri="{FF2B5EF4-FFF2-40B4-BE49-F238E27FC236}">
              <a16:creationId xmlns:a16="http://schemas.microsoft.com/office/drawing/2014/main" id="{00000000-0008-0000-0400-000099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46" name="Straight Connector 8345">
          <a:extLst>
            <a:ext uri="{FF2B5EF4-FFF2-40B4-BE49-F238E27FC236}">
              <a16:creationId xmlns:a16="http://schemas.microsoft.com/office/drawing/2014/main" id="{00000000-0008-0000-0400-00009A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47" name="Straight Connector 8346">
          <a:extLst>
            <a:ext uri="{FF2B5EF4-FFF2-40B4-BE49-F238E27FC236}">
              <a16:creationId xmlns:a16="http://schemas.microsoft.com/office/drawing/2014/main" id="{00000000-0008-0000-0400-00009B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48" name="Straight Connector 8347">
          <a:extLst>
            <a:ext uri="{FF2B5EF4-FFF2-40B4-BE49-F238E27FC236}">
              <a16:creationId xmlns:a16="http://schemas.microsoft.com/office/drawing/2014/main" id="{00000000-0008-0000-0400-00009C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8349" name="Straight Connector 8348">
          <a:extLst>
            <a:ext uri="{FF2B5EF4-FFF2-40B4-BE49-F238E27FC236}">
              <a16:creationId xmlns:a16="http://schemas.microsoft.com/office/drawing/2014/main" id="{00000000-0008-0000-0400-00009D2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8350" name="Straight Connector 8349">
          <a:extLst>
            <a:ext uri="{FF2B5EF4-FFF2-40B4-BE49-F238E27FC236}">
              <a16:creationId xmlns:a16="http://schemas.microsoft.com/office/drawing/2014/main" id="{00000000-0008-0000-0400-00009E200000}"/>
            </a:ext>
          </a:extLst>
        </xdr:cNvPr>
        <xdr:cNvCxnSpPr/>
      </xdr:nvCxnSpPr>
      <xdr:spPr bwMode="auto">
        <a:xfrm>
          <a:off x="113252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8351" name="Straight Connector 8350">
          <a:extLst>
            <a:ext uri="{FF2B5EF4-FFF2-40B4-BE49-F238E27FC236}">
              <a16:creationId xmlns:a16="http://schemas.microsoft.com/office/drawing/2014/main" id="{00000000-0008-0000-0400-00009F200000}"/>
            </a:ext>
          </a:extLst>
        </xdr:cNvPr>
        <xdr:cNvCxnSpPr/>
      </xdr:nvCxnSpPr>
      <xdr:spPr bwMode="auto">
        <a:xfrm>
          <a:off x="113252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8352" name="Straight Connector 8351">
          <a:extLst>
            <a:ext uri="{FF2B5EF4-FFF2-40B4-BE49-F238E27FC236}">
              <a16:creationId xmlns:a16="http://schemas.microsoft.com/office/drawing/2014/main" id="{00000000-0008-0000-0400-0000A0200000}"/>
            </a:ext>
          </a:extLst>
        </xdr:cNvPr>
        <xdr:cNvCxnSpPr/>
      </xdr:nvCxnSpPr>
      <xdr:spPr bwMode="auto">
        <a:xfrm>
          <a:off x="113252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53" name="Straight Connector 8352">
          <a:extLst>
            <a:ext uri="{FF2B5EF4-FFF2-40B4-BE49-F238E27FC236}">
              <a16:creationId xmlns:a16="http://schemas.microsoft.com/office/drawing/2014/main" id="{00000000-0008-0000-0400-0000A1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54" name="Straight Connector 8353">
          <a:extLst>
            <a:ext uri="{FF2B5EF4-FFF2-40B4-BE49-F238E27FC236}">
              <a16:creationId xmlns:a16="http://schemas.microsoft.com/office/drawing/2014/main" id="{00000000-0008-0000-0400-0000A2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55" name="Straight Connector 8354">
          <a:extLst>
            <a:ext uri="{FF2B5EF4-FFF2-40B4-BE49-F238E27FC236}">
              <a16:creationId xmlns:a16="http://schemas.microsoft.com/office/drawing/2014/main" id="{00000000-0008-0000-0400-0000A3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56" name="Straight Connector 8355">
          <a:extLst>
            <a:ext uri="{FF2B5EF4-FFF2-40B4-BE49-F238E27FC236}">
              <a16:creationId xmlns:a16="http://schemas.microsoft.com/office/drawing/2014/main" id="{00000000-0008-0000-0400-0000A4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57" name="Straight Connector 8356">
          <a:extLst>
            <a:ext uri="{FF2B5EF4-FFF2-40B4-BE49-F238E27FC236}">
              <a16:creationId xmlns:a16="http://schemas.microsoft.com/office/drawing/2014/main" id="{00000000-0008-0000-0400-0000A5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58" name="Straight Connector 8357">
          <a:extLst>
            <a:ext uri="{FF2B5EF4-FFF2-40B4-BE49-F238E27FC236}">
              <a16:creationId xmlns:a16="http://schemas.microsoft.com/office/drawing/2014/main" id="{00000000-0008-0000-0400-0000A6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8359" name="Straight Connector 8358">
          <a:extLst>
            <a:ext uri="{FF2B5EF4-FFF2-40B4-BE49-F238E27FC236}">
              <a16:creationId xmlns:a16="http://schemas.microsoft.com/office/drawing/2014/main" id="{00000000-0008-0000-0400-0000A72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60" name="Straight Connector 8359">
          <a:extLst>
            <a:ext uri="{FF2B5EF4-FFF2-40B4-BE49-F238E27FC236}">
              <a16:creationId xmlns:a16="http://schemas.microsoft.com/office/drawing/2014/main" id="{00000000-0008-0000-0400-0000A8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61" name="Straight Connector 8360">
          <a:extLst>
            <a:ext uri="{FF2B5EF4-FFF2-40B4-BE49-F238E27FC236}">
              <a16:creationId xmlns:a16="http://schemas.microsoft.com/office/drawing/2014/main" id="{00000000-0008-0000-0400-0000A9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62" name="Straight Connector 8361">
          <a:extLst>
            <a:ext uri="{FF2B5EF4-FFF2-40B4-BE49-F238E27FC236}">
              <a16:creationId xmlns:a16="http://schemas.microsoft.com/office/drawing/2014/main" id="{00000000-0008-0000-0400-0000AA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63" name="Straight Connector 8362">
          <a:extLst>
            <a:ext uri="{FF2B5EF4-FFF2-40B4-BE49-F238E27FC236}">
              <a16:creationId xmlns:a16="http://schemas.microsoft.com/office/drawing/2014/main" id="{00000000-0008-0000-0400-0000AB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64" name="Straight Connector 8363">
          <a:extLst>
            <a:ext uri="{FF2B5EF4-FFF2-40B4-BE49-F238E27FC236}">
              <a16:creationId xmlns:a16="http://schemas.microsoft.com/office/drawing/2014/main" id="{00000000-0008-0000-0400-0000AC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65" name="Straight Connector 8364">
          <a:extLst>
            <a:ext uri="{FF2B5EF4-FFF2-40B4-BE49-F238E27FC236}">
              <a16:creationId xmlns:a16="http://schemas.microsoft.com/office/drawing/2014/main" id="{00000000-0008-0000-0400-0000AD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66" name="Straight Connector 8365">
          <a:extLst>
            <a:ext uri="{FF2B5EF4-FFF2-40B4-BE49-F238E27FC236}">
              <a16:creationId xmlns:a16="http://schemas.microsoft.com/office/drawing/2014/main" id="{00000000-0008-0000-0400-0000AE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67" name="Straight Connector 8366">
          <a:extLst>
            <a:ext uri="{FF2B5EF4-FFF2-40B4-BE49-F238E27FC236}">
              <a16:creationId xmlns:a16="http://schemas.microsoft.com/office/drawing/2014/main" id="{00000000-0008-0000-0400-0000AF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68" name="Straight Connector 8367">
          <a:extLst>
            <a:ext uri="{FF2B5EF4-FFF2-40B4-BE49-F238E27FC236}">
              <a16:creationId xmlns:a16="http://schemas.microsoft.com/office/drawing/2014/main" id="{00000000-0008-0000-0400-0000B0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69" name="Straight Connector 8368">
          <a:extLst>
            <a:ext uri="{FF2B5EF4-FFF2-40B4-BE49-F238E27FC236}">
              <a16:creationId xmlns:a16="http://schemas.microsoft.com/office/drawing/2014/main" id="{00000000-0008-0000-0400-0000B1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70" name="Straight Connector 8369">
          <a:extLst>
            <a:ext uri="{FF2B5EF4-FFF2-40B4-BE49-F238E27FC236}">
              <a16:creationId xmlns:a16="http://schemas.microsoft.com/office/drawing/2014/main" id="{00000000-0008-0000-0400-0000B2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8371" name="Straight Connector 8370">
          <a:extLst>
            <a:ext uri="{FF2B5EF4-FFF2-40B4-BE49-F238E27FC236}">
              <a16:creationId xmlns:a16="http://schemas.microsoft.com/office/drawing/2014/main" id="{00000000-0008-0000-0400-0000B32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72" name="Straight Connector 8371">
          <a:extLst>
            <a:ext uri="{FF2B5EF4-FFF2-40B4-BE49-F238E27FC236}">
              <a16:creationId xmlns:a16="http://schemas.microsoft.com/office/drawing/2014/main" id="{00000000-0008-0000-0400-0000B4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73" name="Straight Connector 8372">
          <a:extLst>
            <a:ext uri="{FF2B5EF4-FFF2-40B4-BE49-F238E27FC236}">
              <a16:creationId xmlns:a16="http://schemas.microsoft.com/office/drawing/2014/main" id="{00000000-0008-0000-0400-0000B5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74" name="Straight Connector 8373">
          <a:extLst>
            <a:ext uri="{FF2B5EF4-FFF2-40B4-BE49-F238E27FC236}">
              <a16:creationId xmlns:a16="http://schemas.microsoft.com/office/drawing/2014/main" id="{00000000-0008-0000-0400-0000B6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75" name="Straight Connector 8374">
          <a:extLst>
            <a:ext uri="{FF2B5EF4-FFF2-40B4-BE49-F238E27FC236}">
              <a16:creationId xmlns:a16="http://schemas.microsoft.com/office/drawing/2014/main" id="{00000000-0008-0000-0400-0000B7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76" name="Straight Connector 8375">
          <a:extLst>
            <a:ext uri="{FF2B5EF4-FFF2-40B4-BE49-F238E27FC236}">
              <a16:creationId xmlns:a16="http://schemas.microsoft.com/office/drawing/2014/main" id="{00000000-0008-0000-0400-0000B8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77" name="Straight Connector 8376">
          <a:extLst>
            <a:ext uri="{FF2B5EF4-FFF2-40B4-BE49-F238E27FC236}">
              <a16:creationId xmlns:a16="http://schemas.microsoft.com/office/drawing/2014/main" id="{00000000-0008-0000-0400-0000B9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78" name="Straight Connector 8377">
          <a:extLst>
            <a:ext uri="{FF2B5EF4-FFF2-40B4-BE49-F238E27FC236}">
              <a16:creationId xmlns:a16="http://schemas.microsoft.com/office/drawing/2014/main" id="{00000000-0008-0000-0400-0000BA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79" name="Straight Connector 8378">
          <a:extLst>
            <a:ext uri="{FF2B5EF4-FFF2-40B4-BE49-F238E27FC236}">
              <a16:creationId xmlns:a16="http://schemas.microsoft.com/office/drawing/2014/main" id="{00000000-0008-0000-0400-0000BB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80" name="Straight Connector 8379">
          <a:extLst>
            <a:ext uri="{FF2B5EF4-FFF2-40B4-BE49-F238E27FC236}">
              <a16:creationId xmlns:a16="http://schemas.microsoft.com/office/drawing/2014/main" id="{00000000-0008-0000-0400-0000BC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81" name="Straight Connector 8380">
          <a:extLst>
            <a:ext uri="{FF2B5EF4-FFF2-40B4-BE49-F238E27FC236}">
              <a16:creationId xmlns:a16="http://schemas.microsoft.com/office/drawing/2014/main" id="{00000000-0008-0000-0400-0000BD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82" name="Straight Connector 8381">
          <a:extLst>
            <a:ext uri="{FF2B5EF4-FFF2-40B4-BE49-F238E27FC236}">
              <a16:creationId xmlns:a16="http://schemas.microsoft.com/office/drawing/2014/main" id="{00000000-0008-0000-0400-0000BE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83" name="Straight Connector 8382">
          <a:extLst>
            <a:ext uri="{FF2B5EF4-FFF2-40B4-BE49-F238E27FC236}">
              <a16:creationId xmlns:a16="http://schemas.microsoft.com/office/drawing/2014/main" id="{00000000-0008-0000-0400-0000BF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84" name="Straight Connector 8383">
          <a:extLst>
            <a:ext uri="{FF2B5EF4-FFF2-40B4-BE49-F238E27FC236}">
              <a16:creationId xmlns:a16="http://schemas.microsoft.com/office/drawing/2014/main" id="{00000000-0008-0000-0400-0000C0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85" name="Straight Connector 8384">
          <a:extLst>
            <a:ext uri="{FF2B5EF4-FFF2-40B4-BE49-F238E27FC236}">
              <a16:creationId xmlns:a16="http://schemas.microsoft.com/office/drawing/2014/main" id="{00000000-0008-0000-0400-0000C1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86" name="Straight Connector 8385">
          <a:extLst>
            <a:ext uri="{FF2B5EF4-FFF2-40B4-BE49-F238E27FC236}">
              <a16:creationId xmlns:a16="http://schemas.microsoft.com/office/drawing/2014/main" id="{00000000-0008-0000-0400-0000C2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87" name="Straight Connector 8386">
          <a:extLst>
            <a:ext uri="{FF2B5EF4-FFF2-40B4-BE49-F238E27FC236}">
              <a16:creationId xmlns:a16="http://schemas.microsoft.com/office/drawing/2014/main" id="{00000000-0008-0000-0400-0000C3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88" name="Straight Connector 8387">
          <a:extLst>
            <a:ext uri="{FF2B5EF4-FFF2-40B4-BE49-F238E27FC236}">
              <a16:creationId xmlns:a16="http://schemas.microsoft.com/office/drawing/2014/main" id="{00000000-0008-0000-0400-0000C4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8389" name="Straight Connector 8388">
          <a:extLst>
            <a:ext uri="{FF2B5EF4-FFF2-40B4-BE49-F238E27FC236}">
              <a16:creationId xmlns:a16="http://schemas.microsoft.com/office/drawing/2014/main" id="{00000000-0008-0000-0400-0000C52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390" name="Straight Connector 8389">
          <a:extLst>
            <a:ext uri="{FF2B5EF4-FFF2-40B4-BE49-F238E27FC236}">
              <a16:creationId xmlns:a16="http://schemas.microsoft.com/office/drawing/2014/main" id="{00000000-0008-0000-0400-0000C6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391" name="Straight Connector 8390">
          <a:extLst>
            <a:ext uri="{FF2B5EF4-FFF2-40B4-BE49-F238E27FC236}">
              <a16:creationId xmlns:a16="http://schemas.microsoft.com/office/drawing/2014/main" id="{00000000-0008-0000-0400-0000C7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392" name="Straight Connector 8391">
          <a:extLst>
            <a:ext uri="{FF2B5EF4-FFF2-40B4-BE49-F238E27FC236}">
              <a16:creationId xmlns:a16="http://schemas.microsoft.com/office/drawing/2014/main" id="{00000000-0008-0000-0400-0000C8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393" name="Straight Connector 8392">
          <a:extLst>
            <a:ext uri="{FF2B5EF4-FFF2-40B4-BE49-F238E27FC236}">
              <a16:creationId xmlns:a16="http://schemas.microsoft.com/office/drawing/2014/main" id="{00000000-0008-0000-0400-0000C9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394" name="Straight Connector 8393">
          <a:extLst>
            <a:ext uri="{FF2B5EF4-FFF2-40B4-BE49-F238E27FC236}">
              <a16:creationId xmlns:a16="http://schemas.microsoft.com/office/drawing/2014/main" id="{00000000-0008-0000-0400-0000CA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395" name="Straight Connector 8394">
          <a:extLst>
            <a:ext uri="{FF2B5EF4-FFF2-40B4-BE49-F238E27FC236}">
              <a16:creationId xmlns:a16="http://schemas.microsoft.com/office/drawing/2014/main" id="{00000000-0008-0000-0400-0000CB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8396" name="Straight Connector 8395">
          <a:extLst>
            <a:ext uri="{FF2B5EF4-FFF2-40B4-BE49-F238E27FC236}">
              <a16:creationId xmlns:a16="http://schemas.microsoft.com/office/drawing/2014/main" id="{00000000-0008-0000-0400-0000CC2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397" name="Straight Connector 8396">
          <a:extLst>
            <a:ext uri="{FF2B5EF4-FFF2-40B4-BE49-F238E27FC236}">
              <a16:creationId xmlns:a16="http://schemas.microsoft.com/office/drawing/2014/main" id="{00000000-0008-0000-0400-0000CD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398" name="Straight Connector 8397">
          <a:extLst>
            <a:ext uri="{FF2B5EF4-FFF2-40B4-BE49-F238E27FC236}">
              <a16:creationId xmlns:a16="http://schemas.microsoft.com/office/drawing/2014/main" id="{00000000-0008-0000-0400-0000CE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399" name="Straight Connector 8398">
          <a:extLst>
            <a:ext uri="{FF2B5EF4-FFF2-40B4-BE49-F238E27FC236}">
              <a16:creationId xmlns:a16="http://schemas.microsoft.com/office/drawing/2014/main" id="{00000000-0008-0000-0400-0000CF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400" name="Straight Connector 8399">
          <a:extLst>
            <a:ext uri="{FF2B5EF4-FFF2-40B4-BE49-F238E27FC236}">
              <a16:creationId xmlns:a16="http://schemas.microsoft.com/office/drawing/2014/main" id="{00000000-0008-0000-0400-0000D0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401" name="Straight Connector 8400">
          <a:extLst>
            <a:ext uri="{FF2B5EF4-FFF2-40B4-BE49-F238E27FC236}">
              <a16:creationId xmlns:a16="http://schemas.microsoft.com/office/drawing/2014/main" id="{00000000-0008-0000-0400-0000D1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402" name="Straight Connector 8401">
          <a:extLst>
            <a:ext uri="{FF2B5EF4-FFF2-40B4-BE49-F238E27FC236}">
              <a16:creationId xmlns:a16="http://schemas.microsoft.com/office/drawing/2014/main" id="{00000000-0008-0000-0400-0000D2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403" name="Straight Connector 8402">
          <a:extLst>
            <a:ext uri="{FF2B5EF4-FFF2-40B4-BE49-F238E27FC236}">
              <a16:creationId xmlns:a16="http://schemas.microsoft.com/office/drawing/2014/main" id="{00000000-0008-0000-0400-0000D3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404" name="Straight Connector 8403">
          <a:extLst>
            <a:ext uri="{FF2B5EF4-FFF2-40B4-BE49-F238E27FC236}">
              <a16:creationId xmlns:a16="http://schemas.microsoft.com/office/drawing/2014/main" id="{00000000-0008-0000-0400-0000D4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405" name="Straight Connector 8404">
          <a:extLst>
            <a:ext uri="{FF2B5EF4-FFF2-40B4-BE49-F238E27FC236}">
              <a16:creationId xmlns:a16="http://schemas.microsoft.com/office/drawing/2014/main" id="{00000000-0008-0000-0400-0000D5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406" name="Straight Connector 8405">
          <a:extLst>
            <a:ext uri="{FF2B5EF4-FFF2-40B4-BE49-F238E27FC236}">
              <a16:creationId xmlns:a16="http://schemas.microsoft.com/office/drawing/2014/main" id="{00000000-0008-0000-0400-0000D6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407" name="Straight Connector 8406">
          <a:extLst>
            <a:ext uri="{FF2B5EF4-FFF2-40B4-BE49-F238E27FC236}">
              <a16:creationId xmlns:a16="http://schemas.microsoft.com/office/drawing/2014/main" id="{00000000-0008-0000-0400-0000D7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408" name="Straight Connector 8407">
          <a:extLst>
            <a:ext uri="{FF2B5EF4-FFF2-40B4-BE49-F238E27FC236}">
              <a16:creationId xmlns:a16="http://schemas.microsoft.com/office/drawing/2014/main" id="{00000000-0008-0000-0400-0000D8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8409" name="Straight Connector 8408">
          <a:extLst>
            <a:ext uri="{FF2B5EF4-FFF2-40B4-BE49-F238E27FC236}">
              <a16:creationId xmlns:a16="http://schemas.microsoft.com/office/drawing/2014/main" id="{00000000-0008-0000-0400-0000D92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10" name="Straight Connector 8409">
          <a:extLst>
            <a:ext uri="{FF2B5EF4-FFF2-40B4-BE49-F238E27FC236}">
              <a16:creationId xmlns:a16="http://schemas.microsoft.com/office/drawing/2014/main" id="{00000000-0008-0000-0400-0000DA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11" name="Straight Connector 8410">
          <a:extLst>
            <a:ext uri="{FF2B5EF4-FFF2-40B4-BE49-F238E27FC236}">
              <a16:creationId xmlns:a16="http://schemas.microsoft.com/office/drawing/2014/main" id="{00000000-0008-0000-0400-0000DB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12" name="Straight Connector 8411">
          <a:extLst>
            <a:ext uri="{FF2B5EF4-FFF2-40B4-BE49-F238E27FC236}">
              <a16:creationId xmlns:a16="http://schemas.microsoft.com/office/drawing/2014/main" id="{00000000-0008-0000-0400-0000DC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13" name="Straight Connector 8412">
          <a:extLst>
            <a:ext uri="{FF2B5EF4-FFF2-40B4-BE49-F238E27FC236}">
              <a16:creationId xmlns:a16="http://schemas.microsoft.com/office/drawing/2014/main" id="{00000000-0008-0000-0400-0000DD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14" name="Straight Connector 8413">
          <a:extLst>
            <a:ext uri="{FF2B5EF4-FFF2-40B4-BE49-F238E27FC236}">
              <a16:creationId xmlns:a16="http://schemas.microsoft.com/office/drawing/2014/main" id="{00000000-0008-0000-0400-0000DE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15" name="Straight Connector 8414">
          <a:extLst>
            <a:ext uri="{FF2B5EF4-FFF2-40B4-BE49-F238E27FC236}">
              <a16:creationId xmlns:a16="http://schemas.microsoft.com/office/drawing/2014/main" id="{00000000-0008-0000-0400-0000DF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16" name="Straight Connector 8415">
          <a:extLst>
            <a:ext uri="{FF2B5EF4-FFF2-40B4-BE49-F238E27FC236}">
              <a16:creationId xmlns:a16="http://schemas.microsoft.com/office/drawing/2014/main" id="{00000000-0008-0000-0400-0000E0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17" name="Straight Connector 8416">
          <a:extLst>
            <a:ext uri="{FF2B5EF4-FFF2-40B4-BE49-F238E27FC236}">
              <a16:creationId xmlns:a16="http://schemas.microsoft.com/office/drawing/2014/main" id="{00000000-0008-0000-0400-0000E1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18" name="Straight Connector 8417">
          <a:extLst>
            <a:ext uri="{FF2B5EF4-FFF2-40B4-BE49-F238E27FC236}">
              <a16:creationId xmlns:a16="http://schemas.microsoft.com/office/drawing/2014/main" id="{00000000-0008-0000-0400-0000E2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19" name="Straight Connector 8418">
          <a:extLst>
            <a:ext uri="{FF2B5EF4-FFF2-40B4-BE49-F238E27FC236}">
              <a16:creationId xmlns:a16="http://schemas.microsoft.com/office/drawing/2014/main" id="{00000000-0008-0000-0400-0000E3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20" name="Straight Connector 8419">
          <a:extLst>
            <a:ext uri="{FF2B5EF4-FFF2-40B4-BE49-F238E27FC236}">
              <a16:creationId xmlns:a16="http://schemas.microsoft.com/office/drawing/2014/main" id="{00000000-0008-0000-0400-0000E4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21" name="Straight Connector 8420">
          <a:extLst>
            <a:ext uri="{FF2B5EF4-FFF2-40B4-BE49-F238E27FC236}">
              <a16:creationId xmlns:a16="http://schemas.microsoft.com/office/drawing/2014/main" id="{00000000-0008-0000-0400-0000E5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22" name="Straight Connector 8421">
          <a:extLst>
            <a:ext uri="{FF2B5EF4-FFF2-40B4-BE49-F238E27FC236}">
              <a16:creationId xmlns:a16="http://schemas.microsoft.com/office/drawing/2014/main" id="{00000000-0008-0000-0400-0000E6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23" name="Straight Connector 8422">
          <a:extLst>
            <a:ext uri="{FF2B5EF4-FFF2-40B4-BE49-F238E27FC236}">
              <a16:creationId xmlns:a16="http://schemas.microsoft.com/office/drawing/2014/main" id="{00000000-0008-0000-0400-0000E7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24" name="Straight Connector 8423">
          <a:extLst>
            <a:ext uri="{FF2B5EF4-FFF2-40B4-BE49-F238E27FC236}">
              <a16:creationId xmlns:a16="http://schemas.microsoft.com/office/drawing/2014/main" id="{00000000-0008-0000-0400-0000E8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25" name="Straight Connector 8424">
          <a:extLst>
            <a:ext uri="{FF2B5EF4-FFF2-40B4-BE49-F238E27FC236}">
              <a16:creationId xmlns:a16="http://schemas.microsoft.com/office/drawing/2014/main" id="{00000000-0008-0000-0400-0000E9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26" name="Straight Connector 8425">
          <a:extLst>
            <a:ext uri="{FF2B5EF4-FFF2-40B4-BE49-F238E27FC236}">
              <a16:creationId xmlns:a16="http://schemas.microsoft.com/office/drawing/2014/main" id="{00000000-0008-0000-0400-0000EA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8427" name="Straight Connector 8426">
          <a:extLst>
            <a:ext uri="{FF2B5EF4-FFF2-40B4-BE49-F238E27FC236}">
              <a16:creationId xmlns:a16="http://schemas.microsoft.com/office/drawing/2014/main" id="{00000000-0008-0000-0400-0000EB2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28" name="Straight Connector 8427">
          <a:extLst>
            <a:ext uri="{FF2B5EF4-FFF2-40B4-BE49-F238E27FC236}">
              <a16:creationId xmlns:a16="http://schemas.microsoft.com/office/drawing/2014/main" id="{00000000-0008-0000-0400-0000EC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29" name="Straight Connector 8428">
          <a:extLst>
            <a:ext uri="{FF2B5EF4-FFF2-40B4-BE49-F238E27FC236}">
              <a16:creationId xmlns:a16="http://schemas.microsoft.com/office/drawing/2014/main" id="{00000000-0008-0000-0400-0000ED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30" name="Straight Connector 8429">
          <a:extLst>
            <a:ext uri="{FF2B5EF4-FFF2-40B4-BE49-F238E27FC236}">
              <a16:creationId xmlns:a16="http://schemas.microsoft.com/office/drawing/2014/main" id="{00000000-0008-0000-0400-0000EE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31" name="Straight Connector 8430">
          <a:extLst>
            <a:ext uri="{FF2B5EF4-FFF2-40B4-BE49-F238E27FC236}">
              <a16:creationId xmlns:a16="http://schemas.microsoft.com/office/drawing/2014/main" id="{00000000-0008-0000-0400-0000EF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32" name="Straight Connector 8431">
          <a:extLst>
            <a:ext uri="{FF2B5EF4-FFF2-40B4-BE49-F238E27FC236}">
              <a16:creationId xmlns:a16="http://schemas.microsoft.com/office/drawing/2014/main" id="{00000000-0008-0000-0400-0000F0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33" name="Straight Connector 8432">
          <a:extLst>
            <a:ext uri="{FF2B5EF4-FFF2-40B4-BE49-F238E27FC236}">
              <a16:creationId xmlns:a16="http://schemas.microsoft.com/office/drawing/2014/main" id="{00000000-0008-0000-0400-0000F1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34" name="Straight Connector 8433">
          <a:extLst>
            <a:ext uri="{FF2B5EF4-FFF2-40B4-BE49-F238E27FC236}">
              <a16:creationId xmlns:a16="http://schemas.microsoft.com/office/drawing/2014/main" id="{00000000-0008-0000-0400-0000F2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35" name="Straight Connector 8434">
          <a:extLst>
            <a:ext uri="{FF2B5EF4-FFF2-40B4-BE49-F238E27FC236}">
              <a16:creationId xmlns:a16="http://schemas.microsoft.com/office/drawing/2014/main" id="{00000000-0008-0000-0400-0000F3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36" name="Straight Connector 8435">
          <a:extLst>
            <a:ext uri="{FF2B5EF4-FFF2-40B4-BE49-F238E27FC236}">
              <a16:creationId xmlns:a16="http://schemas.microsoft.com/office/drawing/2014/main" id="{00000000-0008-0000-0400-0000F4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37" name="Straight Connector 8436">
          <a:extLst>
            <a:ext uri="{FF2B5EF4-FFF2-40B4-BE49-F238E27FC236}">
              <a16:creationId xmlns:a16="http://schemas.microsoft.com/office/drawing/2014/main" id="{00000000-0008-0000-0400-0000F5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38" name="Straight Connector 8437">
          <a:extLst>
            <a:ext uri="{FF2B5EF4-FFF2-40B4-BE49-F238E27FC236}">
              <a16:creationId xmlns:a16="http://schemas.microsoft.com/office/drawing/2014/main" id="{00000000-0008-0000-0400-0000F6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39" name="Straight Connector 8438">
          <a:extLst>
            <a:ext uri="{FF2B5EF4-FFF2-40B4-BE49-F238E27FC236}">
              <a16:creationId xmlns:a16="http://schemas.microsoft.com/office/drawing/2014/main" id="{00000000-0008-0000-0400-0000F7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40" name="Straight Connector 8439">
          <a:extLst>
            <a:ext uri="{FF2B5EF4-FFF2-40B4-BE49-F238E27FC236}">
              <a16:creationId xmlns:a16="http://schemas.microsoft.com/office/drawing/2014/main" id="{00000000-0008-0000-0400-0000F8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41" name="Straight Connector 8440">
          <a:extLst>
            <a:ext uri="{FF2B5EF4-FFF2-40B4-BE49-F238E27FC236}">
              <a16:creationId xmlns:a16="http://schemas.microsoft.com/office/drawing/2014/main" id="{00000000-0008-0000-0400-0000F9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42" name="Straight Connector 8441">
          <a:extLst>
            <a:ext uri="{FF2B5EF4-FFF2-40B4-BE49-F238E27FC236}">
              <a16:creationId xmlns:a16="http://schemas.microsoft.com/office/drawing/2014/main" id="{00000000-0008-0000-0400-0000FA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43" name="Straight Connector 8442">
          <a:extLst>
            <a:ext uri="{FF2B5EF4-FFF2-40B4-BE49-F238E27FC236}">
              <a16:creationId xmlns:a16="http://schemas.microsoft.com/office/drawing/2014/main" id="{00000000-0008-0000-0400-0000FB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44" name="Straight Connector 8443">
          <a:extLst>
            <a:ext uri="{FF2B5EF4-FFF2-40B4-BE49-F238E27FC236}">
              <a16:creationId xmlns:a16="http://schemas.microsoft.com/office/drawing/2014/main" id="{00000000-0008-0000-0400-0000FC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45" name="Straight Connector 8444">
          <a:extLst>
            <a:ext uri="{FF2B5EF4-FFF2-40B4-BE49-F238E27FC236}">
              <a16:creationId xmlns:a16="http://schemas.microsoft.com/office/drawing/2014/main" id="{00000000-0008-0000-0400-0000FD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46" name="Straight Connector 8445">
          <a:extLst>
            <a:ext uri="{FF2B5EF4-FFF2-40B4-BE49-F238E27FC236}">
              <a16:creationId xmlns:a16="http://schemas.microsoft.com/office/drawing/2014/main" id="{00000000-0008-0000-0400-0000FE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47" name="Straight Connector 8446">
          <a:extLst>
            <a:ext uri="{FF2B5EF4-FFF2-40B4-BE49-F238E27FC236}">
              <a16:creationId xmlns:a16="http://schemas.microsoft.com/office/drawing/2014/main" id="{00000000-0008-0000-0400-0000FF2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48" name="Straight Connector 8447">
          <a:extLst>
            <a:ext uri="{FF2B5EF4-FFF2-40B4-BE49-F238E27FC236}">
              <a16:creationId xmlns:a16="http://schemas.microsoft.com/office/drawing/2014/main" id="{00000000-0008-0000-0400-0000002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8449" name="Straight Connector 8448">
          <a:extLst>
            <a:ext uri="{FF2B5EF4-FFF2-40B4-BE49-F238E27FC236}">
              <a16:creationId xmlns:a16="http://schemas.microsoft.com/office/drawing/2014/main" id="{00000000-0008-0000-0400-0000012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75" name="Straight Connector 8474">
          <a:extLst>
            <a:ext uri="{FF2B5EF4-FFF2-40B4-BE49-F238E27FC236}">
              <a16:creationId xmlns:a16="http://schemas.microsoft.com/office/drawing/2014/main" id="{00000000-0008-0000-0400-00001B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76" name="Straight Connector 8475">
          <a:extLst>
            <a:ext uri="{FF2B5EF4-FFF2-40B4-BE49-F238E27FC236}">
              <a16:creationId xmlns:a16="http://schemas.microsoft.com/office/drawing/2014/main" id="{00000000-0008-0000-0400-00001C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77" name="Straight Connector 8476">
          <a:extLst>
            <a:ext uri="{FF2B5EF4-FFF2-40B4-BE49-F238E27FC236}">
              <a16:creationId xmlns:a16="http://schemas.microsoft.com/office/drawing/2014/main" id="{00000000-0008-0000-0400-00001D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78" name="Straight Connector 8477">
          <a:extLst>
            <a:ext uri="{FF2B5EF4-FFF2-40B4-BE49-F238E27FC236}">
              <a16:creationId xmlns:a16="http://schemas.microsoft.com/office/drawing/2014/main" id="{00000000-0008-0000-0400-00001E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79" name="Straight Connector 8478">
          <a:extLst>
            <a:ext uri="{FF2B5EF4-FFF2-40B4-BE49-F238E27FC236}">
              <a16:creationId xmlns:a16="http://schemas.microsoft.com/office/drawing/2014/main" id="{00000000-0008-0000-0400-00001F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80" name="Straight Connector 8479">
          <a:extLst>
            <a:ext uri="{FF2B5EF4-FFF2-40B4-BE49-F238E27FC236}">
              <a16:creationId xmlns:a16="http://schemas.microsoft.com/office/drawing/2014/main" id="{00000000-0008-0000-0400-000020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81" name="Straight Connector 8480">
          <a:extLst>
            <a:ext uri="{FF2B5EF4-FFF2-40B4-BE49-F238E27FC236}">
              <a16:creationId xmlns:a16="http://schemas.microsoft.com/office/drawing/2014/main" id="{00000000-0008-0000-0400-000021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82" name="Straight Connector 8481">
          <a:extLst>
            <a:ext uri="{FF2B5EF4-FFF2-40B4-BE49-F238E27FC236}">
              <a16:creationId xmlns:a16="http://schemas.microsoft.com/office/drawing/2014/main" id="{00000000-0008-0000-0400-000022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83" name="Straight Connector 8482">
          <a:extLst>
            <a:ext uri="{FF2B5EF4-FFF2-40B4-BE49-F238E27FC236}">
              <a16:creationId xmlns:a16="http://schemas.microsoft.com/office/drawing/2014/main" id="{00000000-0008-0000-0400-000023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84" name="Straight Connector 8483">
          <a:extLst>
            <a:ext uri="{FF2B5EF4-FFF2-40B4-BE49-F238E27FC236}">
              <a16:creationId xmlns:a16="http://schemas.microsoft.com/office/drawing/2014/main" id="{00000000-0008-0000-0400-000024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85" name="Straight Connector 8484">
          <a:extLst>
            <a:ext uri="{FF2B5EF4-FFF2-40B4-BE49-F238E27FC236}">
              <a16:creationId xmlns:a16="http://schemas.microsoft.com/office/drawing/2014/main" id="{00000000-0008-0000-0400-000025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86" name="Straight Connector 8485">
          <a:extLst>
            <a:ext uri="{FF2B5EF4-FFF2-40B4-BE49-F238E27FC236}">
              <a16:creationId xmlns:a16="http://schemas.microsoft.com/office/drawing/2014/main" id="{00000000-0008-0000-0400-000026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87" name="Straight Connector 8486">
          <a:extLst>
            <a:ext uri="{FF2B5EF4-FFF2-40B4-BE49-F238E27FC236}">
              <a16:creationId xmlns:a16="http://schemas.microsoft.com/office/drawing/2014/main" id="{00000000-0008-0000-0400-000027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88" name="Straight Connector 8487">
          <a:extLst>
            <a:ext uri="{FF2B5EF4-FFF2-40B4-BE49-F238E27FC236}">
              <a16:creationId xmlns:a16="http://schemas.microsoft.com/office/drawing/2014/main" id="{00000000-0008-0000-0400-000028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89" name="Straight Connector 8488">
          <a:extLst>
            <a:ext uri="{FF2B5EF4-FFF2-40B4-BE49-F238E27FC236}">
              <a16:creationId xmlns:a16="http://schemas.microsoft.com/office/drawing/2014/main" id="{00000000-0008-0000-0400-000029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90" name="Straight Connector 8489">
          <a:extLst>
            <a:ext uri="{FF2B5EF4-FFF2-40B4-BE49-F238E27FC236}">
              <a16:creationId xmlns:a16="http://schemas.microsoft.com/office/drawing/2014/main" id="{00000000-0008-0000-0400-00002A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91" name="Straight Connector 8490">
          <a:extLst>
            <a:ext uri="{FF2B5EF4-FFF2-40B4-BE49-F238E27FC236}">
              <a16:creationId xmlns:a16="http://schemas.microsoft.com/office/drawing/2014/main" id="{00000000-0008-0000-0400-00002B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92" name="Straight Connector 8491">
          <a:extLst>
            <a:ext uri="{FF2B5EF4-FFF2-40B4-BE49-F238E27FC236}">
              <a16:creationId xmlns:a16="http://schemas.microsoft.com/office/drawing/2014/main" id="{00000000-0008-0000-0400-00002C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93" name="Straight Connector 8492">
          <a:extLst>
            <a:ext uri="{FF2B5EF4-FFF2-40B4-BE49-F238E27FC236}">
              <a16:creationId xmlns:a16="http://schemas.microsoft.com/office/drawing/2014/main" id="{00000000-0008-0000-0400-00002D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8494" name="Straight Connector 8493">
          <a:extLst>
            <a:ext uri="{FF2B5EF4-FFF2-40B4-BE49-F238E27FC236}">
              <a16:creationId xmlns:a16="http://schemas.microsoft.com/office/drawing/2014/main" id="{00000000-0008-0000-0400-00002E2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00" name="Straight Connector 8499">
          <a:extLst>
            <a:ext uri="{FF2B5EF4-FFF2-40B4-BE49-F238E27FC236}">
              <a16:creationId xmlns:a16="http://schemas.microsoft.com/office/drawing/2014/main" id="{00000000-0008-0000-0400-000034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01" name="Straight Connector 8500">
          <a:extLst>
            <a:ext uri="{FF2B5EF4-FFF2-40B4-BE49-F238E27FC236}">
              <a16:creationId xmlns:a16="http://schemas.microsoft.com/office/drawing/2014/main" id="{00000000-0008-0000-0400-000035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02" name="Straight Connector 8501">
          <a:extLst>
            <a:ext uri="{FF2B5EF4-FFF2-40B4-BE49-F238E27FC236}">
              <a16:creationId xmlns:a16="http://schemas.microsoft.com/office/drawing/2014/main" id="{00000000-0008-0000-0400-000036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03" name="Straight Connector 8502">
          <a:extLst>
            <a:ext uri="{FF2B5EF4-FFF2-40B4-BE49-F238E27FC236}">
              <a16:creationId xmlns:a16="http://schemas.microsoft.com/office/drawing/2014/main" id="{00000000-0008-0000-0400-000037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04" name="Straight Connector 8503">
          <a:extLst>
            <a:ext uri="{FF2B5EF4-FFF2-40B4-BE49-F238E27FC236}">
              <a16:creationId xmlns:a16="http://schemas.microsoft.com/office/drawing/2014/main" id="{00000000-0008-0000-0400-000038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05" name="Straight Connector 8504">
          <a:extLst>
            <a:ext uri="{FF2B5EF4-FFF2-40B4-BE49-F238E27FC236}">
              <a16:creationId xmlns:a16="http://schemas.microsoft.com/office/drawing/2014/main" id="{00000000-0008-0000-0400-000039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06" name="Straight Connector 8505">
          <a:extLst>
            <a:ext uri="{FF2B5EF4-FFF2-40B4-BE49-F238E27FC236}">
              <a16:creationId xmlns:a16="http://schemas.microsoft.com/office/drawing/2014/main" id="{00000000-0008-0000-0400-00003A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07" name="Straight Connector 8506">
          <a:extLst>
            <a:ext uri="{FF2B5EF4-FFF2-40B4-BE49-F238E27FC236}">
              <a16:creationId xmlns:a16="http://schemas.microsoft.com/office/drawing/2014/main" id="{00000000-0008-0000-0400-00003B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08" name="Straight Connector 8507">
          <a:extLst>
            <a:ext uri="{FF2B5EF4-FFF2-40B4-BE49-F238E27FC236}">
              <a16:creationId xmlns:a16="http://schemas.microsoft.com/office/drawing/2014/main" id="{00000000-0008-0000-0400-00003C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09" name="Straight Connector 8508">
          <a:extLst>
            <a:ext uri="{FF2B5EF4-FFF2-40B4-BE49-F238E27FC236}">
              <a16:creationId xmlns:a16="http://schemas.microsoft.com/office/drawing/2014/main" id="{00000000-0008-0000-0400-00003D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10" name="Straight Connector 8509">
          <a:extLst>
            <a:ext uri="{FF2B5EF4-FFF2-40B4-BE49-F238E27FC236}">
              <a16:creationId xmlns:a16="http://schemas.microsoft.com/office/drawing/2014/main" id="{00000000-0008-0000-0400-00003E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11" name="Straight Connector 8510">
          <a:extLst>
            <a:ext uri="{FF2B5EF4-FFF2-40B4-BE49-F238E27FC236}">
              <a16:creationId xmlns:a16="http://schemas.microsoft.com/office/drawing/2014/main" id="{00000000-0008-0000-0400-00003F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12" name="Straight Connector 8511">
          <a:extLst>
            <a:ext uri="{FF2B5EF4-FFF2-40B4-BE49-F238E27FC236}">
              <a16:creationId xmlns:a16="http://schemas.microsoft.com/office/drawing/2014/main" id="{00000000-0008-0000-0400-000040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13" name="Straight Connector 8512">
          <a:extLst>
            <a:ext uri="{FF2B5EF4-FFF2-40B4-BE49-F238E27FC236}">
              <a16:creationId xmlns:a16="http://schemas.microsoft.com/office/drawing/2014/main" id="{00000000-0008-0000-0400-000041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14" name="Straight Connector 8513">
          <a:extLst>
            <a:ext uri="{FF2B5EF4-FFF2-40B4-BE49-F238E27FC236}">
              <a16:creationId xmlns:a16="http://schemas.microsoft.com/office/drawing/2014/main" id="{00000000-0008-0000-0400-000042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15" name="Straight Connector 8514">
          <a:extLst>
            <a:ext uri="{FF2B5EF4-FFF2-40B4-BE49-F238E27FC236}">
              <a16:creationId xmlns:a16="http://schemas.microsoft.com/office/drawing/2014/main" id="{00000000-0008-0000-0400-000043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16" name="Straight Connector 8515">
          <a:extLst>
            <a:ext uri="{FF2B5EF4-FFF2-40B4-BE49-F238E27FC236}">
              <a16:creationId xmlns:a16="http://schemas.microsoft.com/office/drawing/2014/main" id="{00000000-0008-0000-0400-000044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17" name="Straight Connector 8516">
          <a:extLst>
            <a:ext uri="{FF2B5EF4-FFF2-40B4-BE49-F238E27FC236}">
              <a16:creationId xmlns:a16="http://schemas.microsoft.com/office/drawing/2014/main" id="{00000000-0008-0000-0400-000045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18" name="Straight Connector 8517">
          <a:extLst>
            <a:ext uri="{FF2B5EF4-FFF2-40B4-BE49-F238E27FC236}">
              <a16:creationId xmlns:a16="http://schemas.microsoft.com/office/drawing/2014/main" id="{00000000-0008-0000-0400-000046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19" name="Straight Connector 8518">
          <a:extLst>
            <a:ext uri="{FF2B5EF4-FFF2-40B4-BE49-F238E27FC236}">
              <a16:creationId xmlns:a16="http://schemas.microsoft.com/office/drawing/2014/main" id="{00000000-0008-0000-0400-000047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20" name="Straight Connector 8519">
          <a:extLst>
            <a:ext uri="{FF2B5EF4-FFF2-40B4-BE49-F238E27FC236}">
              <a16:creationId xmlns:a16="http://schemas.microsoft.com/office/drawing/2014/main" id="{00000000-0008-0000-0400-000048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21" name="Straight Connector 8520">
          <a:extLst>
            <a:ext uri="{FF2B5EF4-FFF2-40B4-BE49-F238E27FC236}">
              <a16:creationId xmlns:a16="http://schemas.microsoft.com/office/drawing/2014/main" id="{00000000-0008-0000-0400-000049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22" name="Straight Connector 8521">
          <a:extLst>
            <a:ext uri="{FF2B5EF4-FFF2-40B4-BE49-F238E27FC236}">
              <a16:creationId xmlns:a16="http://schemas.microsoft.com/office/drawing/2014/main" id="{00000000-0008-0000-0400-00004A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23" name="Straight Connector 8522">
          <a:extLst>
            <a:ext uri="{FF2B5EF4-FFF2-40B4-BE49-F238E27FC236}">
              <a16:creationId xmlns:a16="http://schemas.microsoft.com/office/drawing/2014/main" id="{00000000-0008-0000-0400-00004B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24" name="Straight Connector 8523">
          <a:extLst>
            <a:ext uri="{FF2B5EF4-FFF2-40B4-BE49-F238E27FC236}">
              <a16:creationId xmlns:a16="http://schemas.microsoft.com/office/drawing/2014/main" id="{00000000-0008-0000-0400-00004C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25" name="Straight Connector 8524">
          <a:extLst>
            <a:ext uri="{FF2B5EF4-FFF2-40B4-BE49-F238E27FC236}">
              <a16:creationId xmlns:a16="http://schemas.microsoft.com/office/drawing/2014/main" id="{00000000-0008-0000-0400-00004D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8526" name="Straight Connector 8525">
          <a:extLst>
            <a:ext uri="{FF2B5EF4-FFF2-40B4-BE49-F238E27FC236}">
              <a16:creationId xmlns:a16="http://schemas.microsoft.com/office/drawing/2014/main" id="{00000000-0008-0000-0400-00004E2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27" name="Straight Connector 8526">
          <a:extLst>
            <a:ext uri="{FF2B5EF4-FFF2-40B4-BE49-F238E27FC236}">
              <a16:creationId xmlns:a16="http://schemas.microsoft.com/office/drawing/2014/main" id="{00000000-0008-0000-0400-00004F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28" name="Straight Connector 8527">
          <a:extLst>
            <a:ext uri="{FF2B5EF4-FFF2-40B4-BE49-F238E27FC236}">
              <a16:creationId xmlns:a16="http://schemas.microsoft.com/office/drawing/2014/main" id="{00000000-0008-0000-0400-000050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29" name="Straight Connector 8528">
          <a:extLst>
            <a:ext uri="{FF2B5EF4-FFF2-40B4-BE49-F238E27FC236}">
              <a16:creationId xmlns:a16="http://schemas.microsoft.com/office/drawing/2014/main" id="{00000000-0008-0000-0400-000051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30" name="Straight Connector 8529">
          <a:extLst>
            <a:ext uri="{FF2B5EF4-FFF2-40B4-BE49-F238E27FC236}">
              <a16:creationId xmlns:a16="http://schemas.microsoft.com/office/drawing/2014/main" id="{00000000-0008-0000-0400-000052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31" name="Straight Connector 8530">
          <a:extLst>
            <a:ext uri="{FF2B5EF4-FFF2-40B4-BE49-F238E27FC236}">
              <a16:creationId xmlns:a16="http://schemas.microsoft.com/office/drawing/2014/main" id="{00000000-0008-0000-0400-000053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32" name="Straight Connector 8531">
          <a:extLst>
            <a:ext uri="{FF2B5EF4-FFF2-40B4-BE49-F238E27FC236}">
              <a16:creationId xmlns:a16="http://schemas.microsoft.com/office/drawing/2014/main" id="{00000000-0008-0000-0400-000054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33" name="Straight Connector 8532">
          <a:extLst>
            <a:ext uri="{FF2B5EF4-FFF2-40B4-BE49-F238E27FC236}">
              <a16:creationId xmlns:a16="http://schemas.microsoft.com/office/drawing/2014/main" id="{00000000-0008-0000-0400-000055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34" name="Straight Connector 8533">
          <a:extLst>
            <a:ext uri="{FF2B5EF4-FFF2-40B4-BE49-F238E27FC236}">
              <a16:creationId xmlns:a16="http://schemas.microsoft.com/office/drawing/2014/main" id="{00000000-0008-0000-0400-000056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35" name="Straight Connector 8534">
          <a:extLst>
            <a:ext uri="{FF2B5EF4-FFF2-40B4-BE49-F238E27FC236}">
              <a16:creationId xmlns:a16="http://schemas.microsoft.com/office/drawing/2014/main" id="{00000000-0008-0000-0400-000057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36" name="Straight Connector 8535">
          <a:extLst>
            <a:ext uri="{FF2B5EF4-FFF2-40B4-BE49-F238E27FC236}">
              <a16:creationId xmlns:a16="http://schemas.microsoft.com/office/drawing/2014/main" id="{00000000-0008-0000-0400-000058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37" name="Straight Connector 8536">
          <a:extLst>
            <a:ext uri="{FF2B5EF4-FFF2-40B4-BE49-F238E27FC236}">
              <a16:creationId xmlns:a16="http://schemas.microsoft.com/office/drawing/2014/main" id="{00000000-0008-0000-0400-000059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38" name="Straight Connector 8537">
          <a:extLst>
            <a:ext uri="{FF2B5EF4-FFF2-40B4-BE49-F238E27FC236}">
              <a16:creationId xmlns:a16="http://schemas.microsoft.com/office/drawing/2014/main" id="{00000000-0008-0000-0400-00005A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39" name="Straight Connector 8538">
          <a:extLst>
            <a:ext uri="{FF2B5EF4-FFF2-40B4-BE49-F238E27FC236}">
              <a16:creationId xmlns:a16="http://schemas.microsoft.com/office/drawing/2014/main" id="{00000000-0008-0000-0400-00005B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40" name="Straight Connector 8539">
          <a:extLst>
            <a:ext uri="{FF2B5EF4-FFF2-40B4-BE49-F238E27FC236}">
              <a16:creationId xmlns:a16="http://schemas.microsoft.com/office/drawing/2014/main" id="{00000000-0008-0000-0400-00005C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41" name="Straight Connector 8540">
          <a:extLst>
            <a:ext uri="{FF2B5EF4-FFF2-40B4-BE49-F238E27FC236}">
              <a16:creationId xmlns:a16="http://schemas.microsoft.com/office/drawing/2014/main" id="{00000000-0008-0000-0400-00005D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42" name="Straight Connector 8541">
          <a:extLst>
            <a:ext uri="{FF2B5EF4-FFF2-40B4-BE49-F238E27FC236}">
              <a16:creationId xmlns:a16="http://schemas.microsoft.com/office/drawing/2014/main" id="{00000000-0008-0000-0400-00005E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43" name="Straight Connector 8542">
          <a:extLst>
            <a:ext uri="{FF2B5EF4-FFF2-40B4-BE49-F238E27FC236}">
              <a16:creationId xmlns:a16="http://schemas.microsoft.com/office/drawing/2014/main" id="{00000000-0008-0000-0400-00005F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44" name="Straight Connector 8543">
          <a:extLst>
            <a:ext uri="{FF2B5EF4-FFF2-40B4-BE49-F238E27FC236}">
              <a16:creationId xmlns:a16="http://schemas.microsoft.com/office/drawing/2014/main" id="{00000000-0008-0000-0400-000060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45" name="Straight Connector 8544">
          <a:extLst>
            <a:ext uri="{FF2B5EF4-FFF2-40B4-BE49-F238E27FC236}">
              <a16:creationId xmlns:a16="http://schemas.microsoft.com/office/drawing/2014/main" id="{00000000-0008-0000-0400-000061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46" name="Straight Connector 8545">
          <a:extLst>
            <a:ext uri="{FF2B5EF4-FFF2-40B4-BE49-F238E27FC236}">
              <a16:creationId xmlns:a16="http://schemas.microsoft.com/office/drawing/2014/main" id="{00000000-0008-0000-0400-000062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47" name="Straight Connector 8546">
          <a:extLst>
            <a:ext uri="{FF2B5EF4-FFF2-40B4-BE49-F238E27FC236}">
              <a16:creationId xmlns:a16="http://schemas.microsoft.com/office/drawing/2014/main" id="{00000000-0008-0000-0400-000063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48" name="Straight Connector 8547">
          <a:extLst>
            <a:ext uri="{FF2B5EF4-FFF2-40B4-BE49-F238E27FC236}">
              <a16:creationId xmlns:a16="http://schemas.microsoft.com/office/drawing/2014/main" id="{00000000-0008-0000-0400-000064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49" name="Straight Connector 8548">
          <a:extLst>
            <a:ext uri="{FF2B5EF4-FFF2-40B4-BE49-F238E27FC236}">
              <a16:creationId xmlns:a16="http://schemas.microsoft.com/office/drawing/2014/main" id="{00000000-0008-0000-0400-000065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50" name="Straight Connector 8549">
          <a:extLst>
            <a:ext uri="{FF2B5EF4-FFF2-40B4-BE49-F238E27FC236}">
              <a16:creationId xmlns:a16="http://schemas.microsoft.com/office/drawing/2014/main" id="{00000000-0008-0000-0400-000066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51" name="Straight Connector 8550">
          <a:extLst>
            <a:ext uri="{FF2B5EF4-FFF2-40B4-BE49-F238E27FC236}">
              <a16:creationId xmlns:a16="http://schemas.microsoft.com/office/drawing/2014/main" id="{00000000-0008-0000-0400-000067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52" name="Straight Connector 8551">
          <a:extLst>
            <a:ext uri="{FF2B5EF4-FFF2-40B4-BE49-F238E27FC236}">
              <a16:creationId xmlns:a16="http://schemas.microsoft.com/office/drawing/2014/main" id="{00000000-0008-0000-0400-000068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53" name="Straight Connector 8552">
          <a:extLst>
            <a:ext uri="{FF2B5EF4-FFF2-40B4-BE49-F238E27FC236}">
              <a16:creationId xmlns:a16="http://schemas.microsoft.com/office/drawing/2014/main" id="{00000000-0008-0000-0400-000069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8554" name="Straight Connector 8553">
          <a:extLst>
            <a:ext uri="{FF2B5EF4-FFF2-40B4-BE49-F238E27FC236}">
              <a16:creationId xmlns:a16="http://schemas.microsoft.com/office/drawing/2014/main" id="{00000000-0008-0000-0400-00006A2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55" name="Straight Connector 8554">
          <a:extLst>
            <a:ext uri="{FF2B5EF4-FFF2-40B4-BE49-F238E27FC236}">
              <a16:creationId xmlns:a16="http://schemas.microsoft.com/office/drawing/2014/main" id="{00000000-0008-0000-0400-00006B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56" name="Straight Connector 8555">
          <a:extLst>
            <a:ext uri="{FF2B5EF4-FFF2-40B4-BE49-F238E27FC236}">
              <a16:creationId xmlns:a16="http://schemas.microsoft.com/office/drawing/2014/main" id="{00000000-0008-0000-0400-00006C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57" name="Straight Connector 8556">
          <a:extLst>
            <a:ext uri="{FF2B5EF4-FFF2-40B4-BE49-F238E27FC236}">
              <a16:creationId xmlns:a16="http://schemas.microsoft.com/office/drawing/2014/main" id="{00000000-0008-0000-0400-00006D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58" name="Straight Connector 8557">
          <a:extLst>
            <a:ext uri="{FF2B5EF4-FFF2-40B4-BE49-F238E27FC236}">
              <a16:creationId xmlns:a16="http://schemas.microsoft.com/office/drawing/2014/main" id="{00000000-0008-0000-0400-00006E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59" name="Straight Connector 8558">
          <a:extLst>
            <a:ext uri="{FF2B5EF4-FFF2-40B4-BE49-F238E27FC236}">
              <a16:creationId xmlns:a16="http://schemas.microsoft.com/office/drawing/2014/main" id="{00000000-0008-0000-0400-00006F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60" name="Straight Connector 8559">
          <a:extLst>
            <a:ext uri="{FF2B5EF4-FFF2-40B4-BE49-F238E27FC236}">
              <a16:creationId xmlns:a16="http://schemas.microsoft.com/office/drawing/2014/main" id="{00000000-0008-0000-0400-000070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61" name="Straight Connector 8560">
          <a:extLst>
            <a:ext uri="{FF2B5EF4-FFF2-40B4-BE49-F238E27FC236}">
              <a16:creationId xmlns:a16="http://schemas.microsoft.com/office/drawing/2014/main" id="{00000000-0008-0000-0400-000071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62" name="Straight Connector 8561">
          <a:extLst>
            <a:ext uri="{FF2B5EF4-FFF2-40B4-BE49-F238E27FC236}">
              <a16:creationId xmlns:a16="http://schemas.microsoft.com/office/drawing/2014/main" id="{00000000-0008-0000-0400-000072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63" name="Straight Connector 8562">
          <a:extLst>
            <a:ext uri="{FF2B5EF4-FFF2-40B4-BE49-F238E27FC236}">
              <a16:creationId xmlns:a16="http://schemas.microsoft.com/office/drawing/2014/main" id="{00000000-0008-0000-0400-000073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64" name="Straight Connector 8563">
          <a:extLst>
            <a:ext uri="{FF2B5EF4-FFF2-40B4-BE49-F238E27FC236}">
              <a16:creationId xmlns:a16="http://schemas.microsoft.com/office/drawing/2014/main" id="{00000000-0008-0000-0400-000074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65" name="Straight Connector 8564">
          <a:extLst>
            <a:ext uri="{FF2B5EF4-FFF2-40B4-BE49-F238E27FC236}">
              <a16:creationId xmlns:a16="http://schemas.microsoft.com/office/drawing/2014/main" id="{00000000-0008-0000-0400-000075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66" name="Straight Connector 8565">
          <a:extLst>
            <a:ext uri="{FF2B5EF4-FFF2-40B4-BE49-F238E27FC236}">
              <a16:creationId xmlns:a16="http://schemas.microsoft.com/office/drawing/2014/main" id="{00000000-0008-0000-0400-000076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67" name="Straight Connector 8566">
          <a:extLst>
            <a:ext uri="{FF2B5EF4-FFF2-40B4-BE49-F238E27FC236}">
              <a16:creationId xmlns:a16="http://schemas.microsoft.com/office/drawing/2014/main" id="{00000000-0008-0000-0400-000077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68" name="Straight Connector 8567">
          <a:extLst>
            <a:ext uri="{FF2B5EF4-FFF2-40B4-BE49-F238E27FC236}">
              <a16:creationId xmlns:a16="http://schemas.microsoft.com/office/drawing/2014/main" id="{00000000-0008-0000-0400-000078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69" name="Straight Connector 8568">
          <a:extLst>
            <a:ext uri="{FF2B5EF4-FFF2-40B4-BE49-F238E27FC236}">
              <a16:creationId xmlns:a16="http://schemas.microsoft.com/office/drawing/2014/main" id="{00000000-0008-0000-0400-000079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70" name="Straight Connector 8569">
          <a:extLst>
            <a:ext uri="{FF2B5EF4-FFF2-40B4-BE49-F238E27FC236}">
              <a16:creationId xmlns:a16="http://schemas.microsoft.com/office/drawing/2014/main" id="{00000000-0008-0000-0400-00007A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71" name="Straight Connector 8570">
          <a:extLst>
            <a:ext uri="{FF2B5EF4-FFF2-40B4-BE49-F238E27FC236}">
              <a16:creationId xmlns:a16="http://schemas.microsoft.com/office/drawing/2014/main" id="{00000000-0008-0000-0400-00007B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72" name="Straight Connector 8571">
          <a:extLst>
            <a:ext uri="{FF2B5EF4-FFF2-40B4-BE49-F238E27FC236}">
              <a16:creationId xmlns:a16="http://schemas.microsoft.com/office/drawing/2014/main" id="{00000000-0008-0000-0400-00007C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73" name="Straight Connector 8572">
          <a:extLst>
            <a:ext uri="{FF2B5EF4-FFF2-40B4-BE49-F238E27FC236}">
              <a16:creationId xmlns:a16="http://schemas.microsoft.com/office/drawing/2014/main" id="{00000000-0008-0000-0400-00007D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74" name="Straight Connector 8573">
          <a:extLst>
            <a:ext uri="{FF2B5EF4-FFF2-40B4-BE49-F238E27FC236}">
              <a16:creationId xmlns:a16="http://schemas.microsoft.com/office/drawing/2014/main" id="{00000000-0008-0000-0400-00007E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75" name="Straight Connector 8574">
          <a:extLst>
            <a:ext uri="{FF2B5EF4-FFF2-40B4-BE49-F238E27FC236}">
              <a16:creationId xmlns:a16="http://schemas.microsoft.com/office/drawing/2014/main" id="{00000000-0008-0000-0400-00007F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76" name="Straight Connector 8575">
          <a:extLst>
            <a:ext uri="{FF2B5EF4-FFF2-40B4-BE49-F238E27FC236}">
              <a16:creationId xmlns:a16="http://schemas.microsoft.com/office/drawing/2014/main" id="{00000000-0008-0000-0400-000080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77" name="Straight Connector 8576">
          <a:extLst>
            <a:ext uri="{FF2B5EF4-FFF2-40B4-BE49-F238E27FC236}">
              <a16:creationId xmlns:a16="http://schemas.microsoft.com/office/drawing/2014/main" id="{00000000-0008-0000-0400-000081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78" name="Straight Connector 8577">
          <a:extLst>
            <a:ext uri="{FF2B5EF4-FFF2-40B4-BE49-F238E27FC236}">
              <a16:creationId xmlns:a16="http://schemas.microsoft.com/office/drawing/2014/main" id="{00000000-0008-0000-0400-000082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79" name="Straight Connector 8578">
          <a:extLst>
            <a:ext uri="{FF2B5EF4-FFF2-40B4-BE49-F238E27FC236}">
              <a16:creationId xmlns:a16="http://schemas.microsoft.com/office/drawing/2014/main" id="{00000000-0008-0000-0400-000083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80" name="Straight Connector 8579">
          <a:extLst>
            <a:ext uri="{FF2B5EF4-FFF2-40B4-BE49-F238E27FC236}">
              <a16:creationId xmlns:a16="http://schemas.microsoft.com/office/drawing/2014/main" id="{00000000-0008-0000-0400-000084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81" name="Straight Connector 8580">
          <a:extLst>
            <a:ext uri="{FF2B5EF4-FFF2-40B4-BE49-F238E27FC236}">
              <a16:creationId xmlns:a16="http://schemas.microsoft.com/office/drawing/2014/main" id="{00000000-0008-0000-0400-000085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82" name="Straight Connector 8581">
          <a:extLst>
            <a:ext uri="{FF2B5EF4-FFF2-40B4-BE49-F238E27FC236}">
              <a16:creationId xmlns:a16="http://schemas.microsoft.com/office/drawing/2014/main" id="{00000000-0008-0000-0400-000086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8583" name="Straight Connector 8582">
          <a:extLst>
            <a:ext uri="{FF2B5EF4-FFF2-40B4-BE49-F238E27FC236}">
              <a16:creationId xmlns:a16="http://schemas.microsoft.com/office/drawing/2014/main" id="{00000000-0008-0000-0400-0000872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8</xdr:row>
      <xdr:rowOff>34925</xdr:rowOff>
    </xdr:from>
    <xdr:to>
      <xdr:col>20</xdr:col>
      <xdr:colOff>9525</xdr:colOff>
      <xdr:row>9</xdr:row>
      <xdr:rowOff>0</xdr:rowOff>
    </xdr:to>
    <xdr:cxnSp macro="">
      <xdr:nvCxnSpPr>
        <xdr:cNvPr id="8585" name="Straight Connector 8584">
          <a:extLst>
            <a:ext uri="{FF2B5EF4-FFF2-40B4-BE49-F238E27FC236}">
              <a16:creationId xmlns:a16="http://schemas.microsoft.com/office/drawing/2014/main" id="{00000000-0008-0000-0400-000089210000}"/>
            </a:ext>
          </a:extLst>
        </xdr:cNvPr>
        <xdr:cNvCxnSpPr/>
      </xdr:nvCxnSpPr>
      <xdr:spPr bwMode="auto">
        <a:xfrm flipV="1">
          <a:off x="13763625" y="10064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10</xdr:row>
      <xdr:rowOff>34925</xdr:rowOff>
    </xdr:from>
    <xdr:to>
      <xdr:col>18</xdr:col>
      <xdr:colOff>9525</xdr:colOff>
      <xdr:row>11</xdr:row>
      <xdr:rowOff>0</xdr:rowOff>
    </xdr:to>
    <xdr:cxnSp macro="">
      <xdr:nvCxnSpPr>
        <xdr:cNvPr id="8586" name="Straight Connector 8585">
          <a:extLst>
            <a:ext uri="{FF2B5EF4-FFF2-40B4-BE49-F238E27FC236}">
              <a16:creationId xmlns:a16="http://schemas.microsoft.com/office/drawing/2014/main" id="{00000000-0008-0000-0400-00008A210000}"/>
            </a:ext>
          </a:extLst>
        </xdr:cNvPr>
        <xdr:cNvCxnSpPr/>
      </xdr:nvCxnSpPr>
      <xdr:spPr bwMode="auto">
        <a:xfrm flipV="1">
          <a:off x="125444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10</xdr:row>
      <xdr:rowOff>34925</xdr:rowOff>
    </xdr:from>
    <xdr:to>
      <xdr:col>18</xdr:col>
      <xdr:colOff>9525</xdr:colOff>
      <xdr:row>11</xdr:row>
      <xdr:rowOff>0</xdr:rowOff>
    </xdr:to>
    <xdr:cxnSp macro="">
      <xdr:nvCxnSpPr>
        <xdr:cNvPr id="8587" name="Straight Connector 8586">
          <a:extLst>
            <a:ext uri="{FF2B5EF4-FFF2-40B4-BE49-F238E27FC236}">
              <a16:creationId xmlns:a16="http://schemas.microsoft.com/office/drawing/2014/main" id="{00000000-0008-0000-0400-00008B210000}"/>
            </a:ext>
          </a:extLst>
        </xdr:cNvPr>
        <xdr:cNvCxnSpPr/>
      </xdr:nvCxnSpPr>
      <xdr:spPr bwMode="auto">
        <a:xfrm flipV="1">
          <a:off x="125444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12</xdr:row>
      <xdr:rowOff>34925</xdr:rowOff>
    </xdr:from>
    <xdr:to>
      <xdr:col>16</xdr:col>
      <xdr:colOff>9525</xdr:colOff>
      <xdr:row>13</xdr:row>
      <xdr:rowOff>0</xdr:rowOff>
    </xdr:to>
    <xdr:cxnSp macro="">
      <xdr:nvCxnSpPr>
        <xdr:cNvPr id="8588" name="Straight Connector 8587">
          <a:extLst>
            <a:ext uri="{FF2B5EF4-FFF2-40B4-BE49-F238E27FC236}">
              <a16:creationId xmlns:a16="http://schemas.microsoft.com/office/drawing/2014/main" id="{00000000-0008-0000-0400-00008C210000}"/>
            </a:ext>
          </a:extLst>
        </xdr:cNvPr>
        <xdr:cNvCxnSpPr/>
      </xdr:nvCxnSpPr>
      <xdr:spPr bwMode="auto">
        <a:xfrm flipV="1">
          <a:off x="113252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12</xdr:row>
      <xdr:rowOff>34925</xdr:rowOff>
    </xdr:from>
    <xdr:to>
      <xdr:col>16</xdr:col>
      <xdr:colOff>9525</xdr:colOff>
      <xdr:row>13</xdr:row>
      <xdr:rowOff>0</xdr:rowOff>
    </xdr:to>
    <xdr:cxnSp macro="">
      <xdr:nvCxnSpPr>
        <xdr:cNvPr id="8589" name="Straight Connector 8588">
          <a:extLst>
            <a:ext uri="{FF2B5EF4-FFF2-40B4-BE49-F238E27FC236}">
              <a16:creationId xmlns:a16="http://schemas.microsoft.com/office/drawing/2014/main" id="{00000000-0008-0000-0400-00008D210000}"/>
            </a:ext>
          </a:extLst>
        </xdr:cNvPr>
        <xdr:cNvCxnSpPr/>
      </xdr:nvCxnSpPr>
      <xdr:spPr bwMode="auto">
        <a:xfrm flipV="1">
          <a:off x="113252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12</xdr:row>
      <xdr:rowOff>34925</xdr:rowOff>
    </xdr:from>
    <xdr:to>
      <xdr:col>16</xdr:col>
      <xdr:colOff>9525</xdr:colOff>
      <xdr:row>13</xdr:row>
      <xdr:rowOff>0</xdr:rowOff>
    </xdr:to>
    <xdr:cxnSp macro="">
      <xdr:nvCxnSpPr>
        <xdr:cNvPr id="8590" name="Straight Connector 8589">
          <a:extLst>
            <a:ext uri="{FF2B5EF4-FFF2-40B4-BE49-F238E27FC236}">
              <a16:creationId xmlns:a16="http://schemas.microsoft.com/office/drawing/2014/main" id="{00000000-0008-0000-0400-00008E210000}"/>
            </a:ext>
          </a:extLst>
        </xdr:cNvPr>
        <xdr:cNvCxnSpPr/>
      </xdr:nvCxnSpPr>
      <xdr:spPr bwMode="auto">
        <a:xfrm flipV="1">
          <a:off x="113252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14</xdr:row>
      <xdr:rowOff>34925</xdr:rowOff>
    </xdr:from>
    <xdr:to>
      <xdr:col>14</xdr:col>
      <xdr:colOff>9525</xdr:colOff>
      <xdr:row>15</xdr:row>
      <xdr:rowOff>0</xdr:rowOff>
    </xdr:to>
    <xdr:cxnSp macro="">
      <xdr:nvCxnSpPr>
        <xdr:cNvPr id="8591" name="Straight Connector 8590">
          <a:extLst>
            <a:ext uri="{FF2B5EF4-FFF2-40B4-BE49-F238E27FC236}">
              <a16:creationId xmlns:a16="http://schemas.microsoft.com/office/drawing/2014/main" id="{00000000-0008-0000-0400-00008F210000}"/>
            </a:ext>
          </a:extLst>
        </xdr:cNvPr>
        <xdr:cNvCxnSpPr/>
      </xdr:nvCxnSpPr>
      <xdr:spPr bwMode="auto">
        <a:xfrm flipV="1">
          <a:off x="101060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14</xdr:row>
      <xdr:rowOff>34925</xdr:rowOff>
    </xdr:from>
    <xdr:to>
      <xdr:col>14</xdr:col>
      <xdr:colOff>9525</xdr:colOff>
      <xdr:row>15</xdr:row>
      <xdr:rowOff>0</xdr:rowOff>
    </xdr:to>
    <xdr:cxnSp macro="">
      <xdr:nvCxnSpPr>
        <xdr:cNvPr id="8592" name="Straight Connector 8591">
          <a:extLst>
            <a:ext uri="{FF2B5EF4-FFF2-40B4-BE49-F238E27FC236}">
              <a16:creationId xmlns:a16="http://schemas.microsoft.com/office/drawing/2014/main" id="{00000000-0008-0000-0400-000090210000}"/>
            </a:ext>
          </a:extLst>
        </xdr:cNvPr>
        <xdr:cNvCxnSpPr/>
      </xdr:nvCxnSpPr>
      <xdr:spPr bwMode="auto">
        <a:xfrm flipV="1">
          <a:off x="101060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14</xdr:row>
      <xdr:rowOff>34925</xdr:rowOff>
    </xdr:from>
    <xdr:to>
      <xdr:col>14</xdr:col>
      <xdr:colOff>9525</xdr:colOff>
      <xdr:row>15</xdr:row>
      <xdr:rowOff>0</xdr:rowOff>
    </xdr:to>
    <xdr:cxnSp macro="">
      <xdr:nvCxnSpPr>
        <xdr:cNvPr id="8593" name="Straight Connector 8592">
          <a:extLst>
            <a:ext uri="{FF2B5EF4-FFF2-40B4-BE49-F238E27FC236}">
              <a16:creationId xmlns:a16="http://schemas.microsoft.com/office/drawing/2014/main" id="{00000000-0008-0000-0400-000091210000}"/>
            </a:ext>
          </a:extLst>
        </xdr:cNvPr>
        <xdr:cNvCxnSpPr/>
      </xdr:nvCxnSpPr>
      <xdr:spPr bwMode="auto">
        <a:xfrm flipV="1">
          <a:off x="101060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14</xdr:row>
      <xdr:rowOff>34925</xdr:rowOff>
    </xdr:from>
    <xdr:to>
      <xdr:col>14</xdr:col>
      <xdr:colOff>9525</xdr:colOff>
      <xdr:row>15</xdr:row>
      <xdr:rowOff>0</xdr:rowOff>
    </xdr:to>
    <xdr:cxnSp macro="">
      <xdr:nvCxnSpPr>
        <xdr:cNvPr id="8594" name="Straight Connector 8593">
          <a:extLst>
            <a:ext uri="{FF2B5EF4-FFF2-40B4-BE49-F238E27FC236}">
              <a16:creationId xmlns:a16="http://schemas.microsoft.com/office/drawing/2014/main" id="{00000000-0008-0000-0400-000092210000}"/>
            </a:ext>
          </a:extLst>
        </xdr:cNvPr>
        <xdr:cNvCxnSpPr/>
      </xdr:nvCxnSpPr>
      <xdr:spPr bwMode="auto">
        <a:xfrm flipV="1">
          <a:off x="101060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8595" name="Straight Connector 8594">
          <a:extLst>
            <a:ext uri="{FF2B5EF4-FFF2-40B4-BE49-F238E27FC236}">
              <a16:creationId xmlns:a16="http://schemas.microsoft.com/office/drawing/2014/main" id="{00000000-0008-0000-0400-000093210000}"/>
            </a:ext>
          </a:extLst>
        </xdr:cNvPr>
        <xdr:cNvCxnSpPr/>
      </xdr:nvCxnSpPr>
      <xdr:spPr bwMode="auto">
        <a:xfrm flipV="1">
          <a:off x="88868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8596" name="Straight Connector 8595">
          <a:extLst>
            <a:ext uri="{FF2B5EF4-FFF2-40B4-BE49-F238E27FC236}">
              <a16:creationId xmlns:a16="http://schemas.microsoft.com/office/drawing/2014/main" id="{00000000-0008-0000-0400-000094210000}"/>
            </a:ext>
          </a:extLst>
        </xdr:cNvPr>
        <xdr:cNvCxnSpPr/>
      </xdr:nvCxnSpPr>
      <xdr:spPr bwMode="auto">
        <a:xfrm flipV="1">
          <a:off x="88868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8597" name="Straight Connector 8596">
          <a:extLst>
            <a:ext uri="{FF2B5EF4-FFF2-40B4-BE49-F238E27FC236}">
              <a16:creationId xmlns:a16="http://schemas.microsoft.com/office/drawing/2014/main" id="{00000000-0008-0000-0400-000095210000}"/>
            </a:ext>
          </a:extLst>
        </xdr:cNvPr>
        <xdr:cNvCxnSpPr/>
      </xdr:nvCxnSpPr>
      <xdr:spPr bwMode="auto">
        <a:xfrm flipV="1">
          <a:off x="88868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8598" name="Straight Connector 8597">
          <a:extLst>
            <a:ext uri="{FF2B5EF4-FFF2-40B4-BE49-F238E27FC236}">
              <a16:creationId xmlns:a16="http://schemas.microsoft.com/office/drawing/2014/main" id="{00000000-0008-0000-0400-000096210000}"/>
            </a:ext>
          </a:extLst>
        </xdr:cNvPr>
        <xdr:cNvCxnSpPr/>
      </xdr:nvCxnSpPr>
      <xdr:spPr bwMode="auto">
        <a:xfrm flipV="1">
          <a:off x="88868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8599" name="Straight Connector 8598">
          <a:extLst>
            <a:ext uri="{FF2B5EF4-FFF2-40B4-BE49-F238E27FC236}">
              <a16:creationId xmlns:a16="http://schemas.microsoft.com/office/drawing/2014/main" id="{00000000-0008-0000-0400-000097210000}"/>
            </a:ext>
          </a:extLst>
        </xdr:cNvPr>
        <xdr:cNvCxnSpPr/>
      </xdr:nvCxnSpPr>
      <xdr:spPr bwMode="auto">
        <a:xfrm flipV="1">
          <a:off x="88868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8600" name="Straight Connector 8599">
          <a:extLst>
            <a:ext uri="{FF2B5EF4-FFF2-40B4-BE49-F238E27FC236}">
              <a16:creationId xmlns:a16="http://schemas.microsoft.com/office/drawing/2014/main" id="{00000000-0008-0000-0400-0000982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8601" name="Straight Connector 8600">
          <a:extLst>
            <a:ext uri="{FF2B5EF4-FFF2-40B4-BE49-F238E27FC236}">
              <a16:creationId xmlns:a16="http://schemas.microsoft.com/office/drawing/2014/main" id="{00000000-0008-0000-0400-0000992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8602" name="Straight Connector 8601">
          <a:extLst>
            <a:ext uri="{FF2B5EF4-FFF2-40B4-BE49-F238E27FC236}">
              <a16:creationId xmlns:a16="http://schemas.microsoft.com/office/drawing/2014/main" id="{00000000-0008-0000-0400-00009A2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8603" name="Straight Connector 8602">
          <a:extLst>
            <a:ext uri="{FF2B5EF4-FFF2-40B4-BE49-F238E27FC236}">
              <a16:creationId xmlns:a16="http://schemas.microsoft.com/office/drawing/2014/main" id="{00000000-0008-0000-0400-00009B2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8604" name="Straight Connector 8603">
          <a:extLst>
            <a:ext uri="{FF2B5EF4-FFF2-40B4-BE49-F238E27FC236}">
              <a16:creationId xmlns:a16="http://schemas.microsoft.com/office/drawing/2014/main" id="{00000000-0008-0000-0400-00009C2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8605" name="Straight Connector 8604">
          <a:extLst>
            <a:ext uri="{FF2B5EF4-FFF2-40B4-BE49-F238E27FC236}">
              <a16:creationId xmlns:a16="http://schemas.microsoft.com/office/drawing/2014/main" id="{00000000-0008-0000-0400-00009D2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8606" name="Straight Connector 8605">
          <a:extLst>
            <a:ext uri="{FF2B5EF4-FFF2-40B4-BE49-F238E27FC236}">
              <a16:creationId xmlns:a16="http://schemas.microsoft.com/office/drawing/2014/main" id="{00000000-0008-0000-0400-00009E2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8607" name="Straight Connector 8606">
          <a:extLst>
            <a:ext uri="{FF2B5EF4-FFF2-40B4-BE49-F238E27FC236}">
              <a16:creationId xmlns:a16="http://schemas.microsoft.com/office/drawing/2014/main" id="{00000000-0008-0000-0400-00009F2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8608" name="Straight Connector 8607">
          <a:extLst>
            <a:ext uri="{FF2B5EF4-FFF2-40B4-BE49-F238E27FC236}">
              <a16:creationId xmlns:a16="http://schemas.microsoft.com/office/drawing/2014/main" id="{00000000-0008-0000-0400-0000A02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8609" name="Straight Connector 8608">
          <a:extLst>
            <a:ext uri="{FF2B5EF4-FFF2-40B4-BE49-F238E27FC236}">
              <a16:creationId xmlns:a16="http://schemas.microsoft.com/office/drawing/2014/main" id="{00000000-0008-0000-0400-0000A12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8610" name="Straight Connector 8609">
          <a:extLst>
            <a:ext uri="{FF2B5EF4-FFF2-40B4-BE49-F238E27FC236}">
              <a16:creationId xmlns:a16="http://schemas.microsoft.com/office/drawing/2014/main" id="{00000000-0008-0000-0400-0000A22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8611" name="Straight Connector 8610">
          <a:extLst>
            <a:ext uri="{FF2B5EF4-FFF2-40B4-BE49-F238E27FC236}">
              <a16:creationId xmlns:a16="http://schemas.microsoft.com/office/drawing/2014/main" id="{00000000-0008-0000-0400-0000A32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8612" name="Straight Connector 8611">
          <a:extLst>
            <a:ext uri="{FF2B5EF4-FFF2-40B4-BE49-F238E27FC236}">
              <a16:creationId xmlns:a16="http://schemas.microsoft.com/office/drawing/2014/main" id="{00000000-0008-0000-0400-0000A42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8637" name="Straight Connector 8636">
          <a:extLst>
            <a:ext uri="{FF2B5EF4-FFF2-40B4-BE49-F238E27FC236}">
              <a16:creationId xmlns:a16="http://schemas.microsoft.com/office/drawing/2014/main" id="{00000000-0008-0000-0400-0000BD2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8638" name="Straight Connector 8637">
          <a:extLst>
            <a:ext uri="{FF2B5EF4-FFF2-40B4-BE49-F238E27FC236}">
              <a16:creationId xmlns:a16="http://schemas.microsoft.com/office/drawing/2014/main" id="{00000000-0008-0000-0400-0000BE2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8639" name="Straight Connector 8638">
          <a:extLst>
            <a:ext uri="{FF2B5EF4-FFF2-40B4-BE49-F238E27FC236}">
              <a16:creationId xmlns:a16="http://schemas.microsoft.com/office/drawing/2014/main" id="{00000000-0008-0000-0400-0000BF2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8640" name="Straight Connector 8639">
          <a:extLst>
            <a:ext uri="{FF2B5EF4-FFF2-40B4-BE49-F238E27FC236}">
              <a16:creationId xmlns:a16="http://schemas.microsoft.com/office/drawing/2014/main" id="{00000000-0008-0000-0400-0000C02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8641" name="Straight Connector 8640">
          <a:extLst>
            <a:ext uri="{FF2B5EF4-FFF2-40B4-BE49-F238E27FC236}">
              <a16:creationId xmlns:a16="http://schemas.microsoft.com/office/drawing/2014/main" id="{00000000-0008-0000-0400-0000C12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8642" name="Straight Connector 8641">
          <a:extLst>
            <a:ext uri="{FF2B5EF4-FFF2-40B4-BE49-F238E27FC236}">
              <a16:creationId xmlns:a16="http://schemas.microsoft.com/office/drawing/2014/main" id="{00000000-0008-0000-0400-0000C22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8643" name="Straight Connector 8642">
          <a:extLst>
            <a:ext uri="{FF2B5EF4-FFF2-40B4-BE49-F238E27FC236}">
              <a16:creationId xmlns:a16="http://schemas.microsoft.com/office/drawing/2014/main" id="{00000000-0008-0000-0400-0000C32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8644" name="Straight Connector 8643">
          <a:extLst>
            <a:ext uri="{FF2B5EF4-FFF2-40B4-BE49-F238E27FC236}">
              <a16:creationId xmlns:a16="http://schemas.microsoft.com/office/drawing/2014/main" id="{00000000-0008-0000-0400-0000C42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645" name="Straight Connector 8644">
          <a:extLst>
            <a:ext uri="{FF2B5EF4-FFF2-40B4-BE49-F238E27FC236}">
              <a16:creationId xmlns:a16="http://schemas.microsoft.com/office/drawing/2014/main" id="{00000000-0008-0000-0400-0000C52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646" name="Straight Connector 8645">
          <a:extLst>
            <a:ext uri="{FF2B5EF4-FFF2-40B4-BE49-F238E27FC236}">
              <a16:creationId xmlns:a16="http://schemas.microsoft.com/office/drawing/2014/main" id="{00000000-0008-0000-0400-0000C62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647" name="Straight Connector 8646">
          <a:extLst>
            <a:ext uri="{FF2B5EF4-FFF2-40B4-BE49-F238E27FC236}">
              <a16:creationId xmlns:a16="http://schemas.microsoft.com/office/drawing/2014/main" id="{00000000-0008-0000-0400-0000C72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648" name="Straight Connector 8647">
          <a:extLst>
            <a:ext uri="{FF2B5EF4-FFF2-40B4-BE49-F238E27FC236}">
              <a16:creationId xmlns:a16="http://schemas.microsoft.com/office/drawing/2014/main" id="{00000000-0008-0000-0400-0000C82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649" name="Straight Connector 8648">
          <a:extLst>
            <a:ext uri="{FF2B5EF4-FFF2-40B4-BE49-F238E27FC236}">
              <a16:creationId xmlns:a16="http://schemas.microsoft.com/office/drawing/2014/main" id="{00000000-0008-0000-0400-0000C92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650" name="Straight Connector 8649">
          <a:extLst>
            <a:ext uri="{FF2B5EF4-FFF2-40B4-BE49-F238E27FC236}">
              <a16:creationId xmlns:a16="http://schemas.microsoft.com/office/drawing/2014/main" id="{00000000-0008-0000-0400-0000CA2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651" name="Straight Connector 8650">
          <a:extLst>
            <a:ext uri="{FF2B5EF4-FFF2-40B4-BE49-F238E27FC236}">
              <a16:creationId xmlns:a16="http://schemas.microsoft.com/office/drawing/2014/main" id="{00000000-0008-0000-0400-0000CB2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652" name="Straight Connector 8651">
          <a:extLst>
            <a:ext uri="{FF2B5EF4-FFF2-40B4-BE49-F238E27FC236}">
              <a16:creationId xmlns:a16="http://schemas.microsoft.com/office/drawing/2014/main" id="{00000000-0008-0000-0400-0000CC2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653" name="Straight Connector 8652">
          <a:extLst>
            <a:ext uri="{FF2B5EF4-FFF2-40B4-BE49-F238E27FC236}">
              <a16:creationId xmlns:a16="http://schemas.microsoft.com/office/drawing/2014/main" id="{00000000-0008-0000-0400-0000CD2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8654" name="Straight Connector 8653">
          <a:extLst>
            <a:ext uri="{FF2B5EF4-FFF2-40B4-BE49-F238E27FC236}">
              <a16:creationId xmlns:a16="http://schemas.microsoft.com/office/drawing/2014/main" id="{00000000-0008-0000-0400-0000CE2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8655" name="Straight Connector 8654">
          <a:extLst>
            <a:ext uri="{FF2B5EF4-FFF2-40B4-BE49-F238E27FC236}">
              <a16:creationId xmlns:a16="http://schemas.microsoft.com/office/drawing/2014/main" id="{00000000-0008-0000-0400-0000CF2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8656" name="Straight Connector 8655">
          <a:extLst>
            <a:ext uri="{FF2B5EF4-FFF2-40B4-BE49-F238E27FC236}">
              <a16:creationId xmlns:a16="http://schemas.microsoft.com/office/drawing/2014/main" id="{00000000-0008-0000-0400-0000D02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8657" name="Straight Connector 8656">
          <a:extLst>
            <a:ext uri="{FF2B5EF4-FFF2-40B4-BE49-F238E27FC236}">
              <a16:creationId xmlns:a16="http://schemas.microsoft.com/office/drawing/2014/main" id="{00000000-0008-0000-0400-0000D12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8658" name="Straight Connector 8657">
          <a:extLst>
            <a:ext uri="{FF2B5EF4-FFF2-40B4-BE49-F238E27FC236}">
              <a16:creationId xmlns:a16="http://schemas.microsoft.com/office/drawing/2014/main" id="{00000000-0008-0000-0400-0000D22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8659" name="Straight Connector 8658">
          <a:extLst>
            <a:ext uri="{FF2B5EF4-FFF2-40B4-BE49-F238E27FC236}">
              <a16:creationId xmlns:a16="http://schemas.microsoft.com/office/drawing/2014/main" id="{00000000-0008-0000-0400-0000D32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8660" name="Straight Connector 8659">
          <a:extLst>
            <a:ext uri="{FF2B5EF4-FFF2-40B4-BE49-F238E27FC236}">
              <a16:creationId xmlns:a16="http://schemas.microsoft.com/office/drawing/2014/main" id="{00000000-0008-0000-0400-0000D42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8661" name="Straight Connector 8660">
          <a:extLst>
            <a:ext uri="{FF2B5EF4-FFF2-40B4-BE49-F238E27FC236}">
              <a16:creationId xmlns:a16="http://schemas.microsoft.com/office/drawing/2014/main" id="{00000000-0008-0000-0400-0000D52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8662" name="Straight Connector 8661">
          <a:extLst>
            <a:ext uri="{FF2B5EF4-FFF2-40B4-BE49-F238E27FC236}">
              <a16:creationId xmlns:a16="http://schemas.microsoft.com/office/drawing/2014/main" id="{00000000-0008-0000-0400-0000D62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8663" name="Straight Connector 8662">
          <a:extLst>
            <a:ext uri="{FF2B5EF4-FFF2-40B4-BE49-F238E27FC236}">
              <a16:creationId xmlns:a16="http://schemas.microsoft.com/office/drawing/2014/main" id="{00000000-0008-0000-0400-0000D72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64" name="Straight Connector 8663">
          <a:extLst>
            <a:ext uri="{FF2B5EF4-FFF2-40B4-BE49-F238E27FC236}">
              <a16:creationId xmlns:a16="http://schemas.microsoft.com/office/drawing/2014/main" id="{00000000-0008-0000-0400-0000D8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65" name="Straight Connector 8664">
          <a:extLst>
            <a:ext uri="{FF2B5EF4-FFF2-40B4-BE49-F238E27FC236}">
              <a16:creationId xmlns:a16="http://schemas.microsoft.com/office/drawing/2014/main" id="{00000000-0008-0000-0400-0000D9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66" name="Straight Connector 8665">
          <a:extLst>
            <a:ext uri="{FF2B5EF4-FFF2-40B4-BE49-F238E27FC236}">
              <a16:creationId xmlns:a16="http://schemas.microsoft.com/office/drawing/2014/main" id="{00000000-0008-0000-0400-0000DA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67" name="Straight Connector 8666">
          <a:extLst>
            <a:ext uri="{FF2B5EF4-FFF2-40B4-BE49-F238E27FC236}">
              <a16:creationId xmlns:a16="http://schemas.microsoft.com/office/drawing/2014/main" id="{00000000-0008-0000-0400-0000DB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68" name="Straight Connector 8667">
          <a:extLst>
            <a:ext uri="{FF2B5EF4-FFF2-40B4-BE49-F238E27FC236}">
              <a16:creationId xmlns:a16="http://schemas.microsoft.com/office/drawing/2014/main" id="{00000000-0008-0000-0400-0000DC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69" name="Straight Connector 8668">
          <a:extLst>
            <a:ext uri="{FF2B5EF4-FFF2-40B4-BE49-F238E27FC236}">
              <a16:creationId xmlns:a16="http://schemas.microsoft.com/office/drawing/2014/main" id="{00000000-0008-0000-0400-0000DD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70" name="Straight Connector 8669">
          <a:extLst>
            <a:ext uri="{FF2B5EF4-FFF2-40B4-BE49-F238E27FC236}">
              <a16:creationId xmlns:a16="http://schemas.microsoft.com/office/drawing/2014/main" id="{00000000-0008-0000-0400-0000DE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71" name="Straight Connector 8670">
          <a:extLst>
            <a:ext uri="{FF2B5EF4-FFF2-40B4-BE49-F238E27FC236}">
              <a16:creationId xmlns:a16="http://schemas.microsoft.com/office/drawing/2014/main" id="{00000000-0008-0000-0400-0000DF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72" name="Straight Connector 8671">
          <a:extLst>
            <a:ext uri="{FF2B5EF4-FFF2-40B4-BE49-F238E27FC236}">
              <a16:creationId xmlns:a16="http://schemas.microsoft.com/office/drawing/2014/main" id="{00000000-0008-0000-0400-0000E0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73" name="Straight Connector 8672">
          <a:extLst>
            <a:ext uri="{FF2B5EF4-FFF2-40B4-BE49-F238E27FC236}">
              <a16:creationId xmlns:a16="http://schemas.microsoft.com/office/drawing/2014/main" id="{00000000-0008-0000-0400-0000E1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674" name="Straight Connector 8673">
          <a:extLst>
            <a:ext uri="{FF2B5EF4-FFF2-40B4-BE49-F238E27FC236}">
              <a16:creationId xmlns:a16="http://schemas.microsoft.com/office/drawing/2014/main" id="{00000000-0008-0000-0400-0000E22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75" name="Straight Connector 8674">
          <a:extLst>
            <a:ext uri="{FF2B5EF4-FFF2-40B4-BE49-F238E27FC236}">
              <a16:creationId xmlns:a16="http://schemas.microsoft.com/office/drawing/2014/main" id="{00000000-0008-0000-0400-0000E3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76" name="Straight Connector 8675">
          <a:extLst>
            <a:ext uri="{FF2B5EF4-FFF2-40B4-BE49-F238E27FC236}">
              <a16:creationId xmlns:a16="http://schemas.microsoft.com/office/drawing/2014/main" id="{00000000-0008-0000-0400-0000E4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77" name="Straight Connector 8676">
          <a:extLst>
            <a:ext uri="{FF2B5EF4-FFF2-40B4-BE49-F238E27FC236}">
              <a16:creationId xmlns:a16="http://schemas.microsoft.com/office/drawing/2014/main" id="{00000000-0008-0000-0400-0000E5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78" name="Straight Connector 8677">
          <a:extLst>
            <a:ext uri="{FF2B5EF4-FFF2-40B4-BE49-F238E27FC236}">
              <a16:creationId xmlns:a16="http://schemas.microsoft.com/office/drawing/2014/main" id="{00000000-0008-0000-0400-0000E6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79" name="Straight Connector 8678">
          <a:extLst>
            <a:ext uri="{FF2B5EF4-FFF2-40B4-BE49-F238E27FC236}">
              <a16:creationId xmlns:a16="http://schemas.microsoft.com/office/drawing/2014/main" id="{00000000-0008-0000-0400-0000E7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80" name="Straight Connector 8679">
          <a:extLst>
            <a:ext uri="{FF2B5EF4-FFF2-40B4-BE49-F238E27FC236}">
              <a16:creationId xmlns:a16="http://schemas.microsoft.com/office/drawing/2014/main" id="{00000000-0008-0000-0400-0000E8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81" name="Straight Connector 8680">
          <a:extLst>
            <a:ext uri="{FF2B5EF4-FFF2-40B4-BE49-F238E27FC236}">
              <a16:creationId xmlns:a16="http://schemas.microsoft.com/office/drawing/2014/main" id="{00000000-0008-0000-0400-0000E9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82" name="Straight Connector 8681">
          <a:extLst>
            <a:ext uri="{FF2B5EF4-FFF2-40B4-BE49-F238E27FC236}">
              <a16:creationId xmlns:a16="http://schemas.microsoft.com/office/drawing/2014/main" id="{00000000-0008-0000-0400-0000EA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83" name="Straight Connector 8682">
          <a:extLst>
            <a:ext uri="{FF2B5EF4-FFF2-40B4-BE49-F238E27FC236}">
              <a16:creationId xmlns:a16="http://schemas.microsoft.com/office/drawing/2014/main" id="{00000000-0008-0000-0400-0000EB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84" name="Straight Connector 8683">
          <a:extLst>
            <a:ext uri="{FF2B5EF4-FFF2-40B4-BE49-F238E27FC236}">
              <a16:creationId xmlns:a16="http://schemas.microsoft.com/office/drawing/2014/main" id="{00000000-0008-0000-0400-0000EC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85" name="Straight Connector 8684">
          <a:extLst>
            <a:ext uri="{FF2B5EF4-FFF2-40B4-BE49-F238E27FC236}">
              <a16:creationId xmlns:a16="http://schemas.microsoft.com/office/drawing/2014/main" id="{00000000-0008-0000-0400-0000ED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8686" name="Straight Connector 8685">
          <a:extLst>
            <a:ext uri="{FF2B5EF4-FFF2-40B4-BE49-F238E27FC236}">
              <a16:creationId xmlns:a16="http://schemas.microsoft.com/office/drawing/2014/main" id="{00000000-0008-0000-0400-0000EE2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87" name="Straight Connector 8686">
          <a:extLst>
            <a:ext uri="{FF2B5EF4-FFF2-40B4-BE49-F238E27FC236}">
              <a16:creationId xmlns:a16="http://schemas.microsoft.com/office/drawing/2014/main" id="{00000000-0008-0000-0400-0000EF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88" name="Straight Connector 8687">
          <a:extLst>
            <a:ext uri="{FF2B5EF4-FFF2-40B4-BE49-F238E27FC236}">
              <a16:creationId xmlns:a16="http://schemas.microsoft.com/office/drawing/2014/main" id="{00000000-0008-0000-0400-0000F0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89" name="Straight Connector 8688">
          <a:extLst>
            <a:ext uri="{FF2B5EF4-FFF2-40B4-BE49-F238E27FC236}">
              <a16:creationId xmlns:a16="http://schemas.microsoft.com/office/drawing/2014/main" id="{00000000-0008-0000-0400-0000F1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90" name="Straight Connector 8689">
          <a:extLst>
            <a:ext uri="{FF2B5EF4-FFF2-40B4-BE49-F238E27FC236}">
              <a16:creationId xmlns:a16="http://schemas.microsoft.com/office/drawing/2014/main" id="{00000000-0008-0000-0400-0000F2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91" name="Straight Connector 8690">
          <a:extLst>
            <a:ext uri="{FF2B5EF4-FFF2-40B4-BE49-F238E27FC236}">
              <a16:creationId xmlns:a16="http://schemas.microsoft.com/office/drawing/2014/main" id="{00000000-0008-0000-0400-0000F3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92" name="Straight Connector 8691">
          <a:extLst>
            <a:ext uri="{FF2B5EF4-FFF2-40B4-BE49-F238E27FC236}">
              <a16:creationId xmlns:a16="http://schemas.microsoft.com/office/drawing/2014/main" id="{00000000-0008-0000-0400-0000F4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93" name="Straight Connector 8692">
          <a:extLst>
            <a:ext uri="{FF2B5EF4-FFF2-40B4-BE49-F238E27FC236}">
              <a16:creationId xmlns:a16="http://schemas.microsoft.com/office/drawing/2014/main" id="{00000000-0008-0000-0400-0000F5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94" name="Straight Connector 8693">
          <a:extLst>
            <a:ext uri="{FF2B5EF4-FFF2-40B4-BE49-F238E27FC236}">
              <a16:creationId xmlns:a16="http://schemas.microsoft.com/office/drawing/2014/main" id="{00000000-0008-0000-0400-0000F6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95" name="Straight Connector 8694">
          <a:extLst>
            <a:ext uri="{FF2B5EF4-FFF2-40B4-BE49-F238E27FC236}">
              <a16:creationId xmlns:a16="http://schemas.microsoft.com/office/drawing/2014/main" id="{00000000-0008-0000-0400-0000F7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96" name="Straight Connector 8695">
          <a:extLst>
            <a:ext uri="{FF2B5EF4-FFF2-40B4-BE49-F238E27FC236}">
              <a16:creationId xmlns:a16="http://schemas.microsoft.com/office/drawing/2014/main" id="{00000000-0008-0000-0400-0000F8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97" name="Straight Connector 8696">
          <a:extLst>
            <a:ext uri="{FF2B5EF4-FFF2-40B4-BE49-F238E27FC236}">
              <a16:creationId xmlns:a16="http://schemas.microsoft.com/office/drawing/2014/main" id="{00000000-0008-0000-0400-0000F9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98" name="Straight Connector 8697">
          <a:extLst>
            <a:ext uri="{FF2B5EF4-FFF2-40B4-BE49-F238E27FC236}">
              <a16:creationId xmlns:a16="http://schemas.microsoft.com/office/drawing/2014/main" id="{00000000-0008-0000-0400-0000FA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699" name="Straight Connector 8698">
          <a:extLst>
            <a:ext uri="{FF2B5EF4-FFF2-40B4-BE49-F238E27FC236}">
              <a16:creationId xmlns:a16="http://schemas.microsoft.com/office/drawing/2014/main" id="{00000000-0008-0000-0400-0000FB2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00" name="Straight Connector 8699">
          <a:extLst>
            <a:ext uri="{FF2B5EF4-FFF2-40B4-BE49-F238E27FC236}">
              <a16:creationId xmlns:a16="http://schemas.microsoft.com/office/drawing/2014/main" id="{00000000-0008-0000-0400-0000FC2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01" name="Straight Connector 8700">
          <a:extLst>
            <a:ext uri="{FF2B5EF4-FFF2-40B4-BE49-F238E27FC236}">
              <a16:creationId xmlns:a16="http://schemas.microsoft.com/office/drawing/2014/main" id="{00000000-0008-0000-0400-0000FD2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02" name="Straight Connector 8701">
          <a:extLst>
            <a:ext uri="{FF2B5EF4-FFF2-40B4-BE49-F238E27FC236}">
              <a16:creationId xmlns:a16="http://schemas.microsoft.com/office/drawing/2014/main" id="{00000000-0008-0000-0400-0000FE2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03" name="Straight Connector 8702">
          <a:extLst>
            <a:ext uri="{FF2B5EF4-FFF2-40B4-BE49-F238E27FC236}">
              <a16:creationId xmlns:a16="http://schemas.microsoft.com/office/drawing/2014/main" id="{00000000-0008-0000-0400-0000FF2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04" name="Straight Connector 8703">
          <a:extLst>
            <a:ext uri="{FF2B5EF4-FFF2-40B4-BE49-F238E27FC236}">
              <a16:creationId xmlns:a16="http://schemas.microsoft.com/office/drawing/2014/main" id="{00000000-0008-0000-0400-000000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05" name="Straight Connector 8704">
          <a:extLst>
            <a:ext uri="{FF2B5EF4-FFF2-40B4-BE49-F238E27FC236}">
              <a16:creationId xmlns:a16="http://schemas.microsoft.com/office/drawing/2014/main" id="{00000000-0008-0000-0400-000001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06" name="Straight Connector 8705">
          <a:extLst>
            <a:ext uri="{FF2B5EF4-FFF2-40B4-BE49-F238E27FC236}">
              <a16:creationId xmlns:a16="http://schemas.microsoft.com/office/drawing/2014/main" id="{00000000-0008-0000-0400-000002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07" name="Straight Connector 8706">
          <a:extLst>
            <a:ext uri="{FF2B5EF4-FFF2-40B4-BE49-F238E27FC236}">
              <a16:creationId xmlns:a16="http://schemas.microsoft.com/office/drawing/2014/main" id="{00000000-0008-0000-0400-000003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08" name="Straight Connector 8707">
          <a:extLst>
            <a:ext uri="{FF2B5EF4-FFF2-40B4-BE49-F238E27FC236}">
              <a16:creationId xmlns:a16="http://schemas.microsoft.com/office/drawing/2014/main" id="{00000000-0008-0000-0400-000004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09" name="Straight Connector 8708">
          <a:extLst>
            <a:ext uri="{FF2B5EF4-FFF2-40B4-BE49-F238E27FC236}">
              <a16:creationId xmlns:a16="http://schemas.microsoft.com/office/drawing/2014/main" id="{00000000-0008-0000-0400-000005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10" name="Straight Connector 8709">
          <a:extLst>
            <a:ext uri="{FF2B5EF4-FFF2-40B4-BE49-F238E27FC236}">
              <a16:creationId xmlns:a16="http://schemas.microsoft.com/office/drawing/2014/main" id="{00000000-0008-0000-0400-000006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11" name="Straight Connector 8710">
          <a:extLst>
            <a:ext uri="{FF2B5EF4-FFF2-40B4-BE49-F238E27FC236}">
              <a16:creationId xmlns:a16="http://schemas.microsoft.com/office/drawing/2014/main" id="{00000000-0008-0000-0400-000007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12" name="Straight Connector 8711">
          <a:extLst>
            <a:ext uri="{FF2B5EF4-FFF2-40B4-BE49-F238E27FC236}">
              <a16:creationId xmlns:a16="http://schemas.microsoft.com/office/drawing/2014/main" id="{00000000-0008-0000-0400-000008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713" name="Straight Connector 8712">
          <a:extLst>
            <a:ext uri="{FF2B5EF4-FFF2-40B4-BE49-F238E27FC236}">
              <a16:creationId xmlns:a16="http://schemas.microsoft.com/office/drawing/2014/main" id="{00000000-0008-0000-0400-000009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14" name="Straight Connector 8713">
          <a:extLst>
            <a:ext uri="{FF2B5EF4-FFF2-40B4-BE49-F238E27FC236}">
              <a16:creationId xmlns:a16="http://schemas.microsoft.com/office/drawing/2014/main" id="{00000000-0008-0000-0400-00000A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15" name="Straight Connector 8714">
          <a:extLst>
            <a:ext uri="{FF2B5EF4-FFF2-40B4-BE49-F238E27FC236}">
              <a16:creationId xmlns:a16="http://schemas.microsoft.com/office/drawing/2014/main" id="{00000000-0008-0000-0400-00000B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16" name="Straight Connector 8715">
          <a:extLst>
            <a:ext uri="{FF2B5EF4-FFF2-40B4-BE49-F238E27FC236}">
              <a16:creationId xmlns:a16="http://schemas.microsoft.com/office/drawing/2014/main" id="{00000000-0008-0000-0400-00000C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17" name="Straight Connector 8716">
          <a:extLst>
            <a:ext uri="{FF2B5EF4-FFF2-40B4-BE49-F238E27FC236}">
              <a16:creationId xmlns:a16="http://schemas.microsoft.com/office/drawing/2014/main" id="{00000000-0008-0000-0400-00000D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18" name="Straight Connector 8717">
          <a:extLst>
            <a:ext uri="{FF2B5EF4-FFF2-40B4-BE49-F238E27FC236}">
              <a16:creationId xmlns:a16="http://schemas.microsoft.com/office/drawing/2014/main" id="{00000000-0008-0000-0400-00000E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19" name="Straight Connector 8718">
          <a:extLst>
            <a:ext uri="{FF2B5EF4-FFF2-40B4-BE49-F238E27FC236}">
              <a16:creationId xmlns:a16="http://schemas.microsoft.com/office/drawing/2014/main" id="{00000000-0008-0000-0400-00000F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20" name="Straight Connector 8719">
          <a:extLst>
            <a:ext uri="{FF2B5EF4-FFF2-40B4-BE49-F238E27FC236}">
              <a16:creationId xmlns:a16="http://schemas.microsoft.com/office/drawing/2014/main" id="{00000000-0008-0000-0400-000010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21" name="Straight Connector 8720">
          <a:extLst>
            <a:ext uri="{FF2B5EF4-FFF2-40B4-BE49-F238E27FC236}">
              <a16:creationId xmlns:a16="http://schemas.microsoft.com/office/drawing/2014/main" id="{00000000-0008-0000-0400-000011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22" name="Straight Connector 8721">
          <a:extLst>
            <a:ext uri="{FF2B5EF4-FFF2-40B4-BE49-F238E27FC236}">
              <a16:creationId xmlns:a16="http://schemas.microsoft.com/office/drawing/2014/main" id="{00000000-0008-0000-0400-000012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23" name="Straight Connector 8722">
          <a:extLst>
            <a:ext uri="{FF2B5EF4-FFF2-40B4-BE49-F238E27FC236}">
              <a16:creationId xmlns:a16="http://schemas.microsoft.com/office/drawing/2014/main" id="{00000000-0008-0000-0400-000013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24" name="Straight Connector 8723">
          <a:extLst>
            <a:ext uri="{FF2B5EF4-FFF2-40B4-BE49-F238E27FC236}">
              <a16:creationId xmlns:a16="http://schemas.microsoft.com/office/drawing/2014/main" id="{00000000-0008-0000-0400-000014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25" name="Straight Connector 8724">
          <a:extLst>
            <a:ext uri="{FF2B5EF4-FFF2-40B4-BE49-F238E27FC236}">
              <a16:creationId xmlns:a16="http://schemas.microsoft.com/office/drawing/2014/main" id="{00000000-0008-0000-0400-000015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26" name="Straight Connector 8725">
          <a:extLst>
            <a:ext uri="{FF2B5EF4-FFF2-40B4-BE49-F238E27FC236}">
              <a16:creationId xmlns:a16="http://schemas.microsoft.com/office/drawing/2014/main" id="{00000000-0008-0000-0400-000016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8727" name="Straight Connector 8726">
          <a:extLst>
            <a:ext uri="{FF2B5EF4-FFF2-40B4-BE49-F238E27FC236}">
              <a16:creationId xmlns:a16="http://schemas.microsoft.com/office/drawing/2014/main" id="{00000000-0008-0000-0400-0000172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8742" name="Straight Connector 8741">
          <a:extLst>
            <a:ext uri="{FF2B5EF4-FFF2-40B4-BE49-F238E27FC236}">
              <a16:creationId xmlns:a16="http://schemas.microsoft.com/office/drawing/2014/main" id="{00000000-0008-0000-0400-000026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8743" name="Straight Connector 8742">
          <a:extLst>
            <a:ext uri="{FF2B5EF4-FFF2-40B4-BE49-F238E27FC236}">
              <a16:creationId xmlns:a16="http://schemas.microsoft.com/office/drawing/2014/main" id="{00000000-0008-0000-0400-000027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8744" name="Straight Connector 8743">
          <a:extLst>
            <a:ext uri="{FF2B5EF4-FFF2-40B4-BE49-F238E27FC236}">
              <a16:creationId xmlns:a16="http://schemas.microsoft.com/office/drawing/2014/main" id="{00000000-0008-0000-0400-000028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8745" name="Straight Connector 8744">
          <a:extLst>
            <a:ext uri="{FF2B5EF4-FFF2-40B4-BE49-F238E27FC236}">
              <a16:creationId xmlns:a16="http://schemas.microsoft.com/office/drawing/2014/main" id="{00000000-0008-0000-0400-000029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8746" name="Straight Connector 8745">
          <a:extLst>
            <a:ext uri="{FF2B5EF4-FFF2-40B4-BE49-F238E27FC236}">
              <a16:creationId xmlns:a16="http://schemas.microsoft.com/office/drawing/2014/main" id="{00000000-0008-0000-0400-00002A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8747" name="Straight Connector 8746">
          <a:extLst>
            <a:ext uri="{FF2B5EF4-FFF2-40B4-BE49-F238E27FC236}">
              <a16:creationId xmlns:a16="http://schemas.microsoft.com/office/drawing/2014/main" id="{00000000-0008-0000-0400-00002B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8748" name="Straight Connector 8747">
          <a:extLst>
            <a:ext uri="{FF2B5EF4-FFF2-40B4-BE49-F238E27FC236}">
              <a16:creationId xmlns:a16="http://schemas.microsoft.com/office/drawing/2014/main" id="{00000000-0008-0000-0400-00002C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8749" name="Straight Connector 8748">
          <a:extLst>
            <a:ext uri="{FF2B5EF4-FFF2-40B4-BE49-F238E27FC236}">
              <a16:creationId xmlns:a16="http://schemas.microsoft.com/office/drawing/2014/main" id="{00000000-0008-0000-0400-00002D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8750" name="Straight Connector 8749">
          <a:extLst>
            <a:ext uri="{FF2B5EF4-FFF2-40B4-BE49-F238E27FC236}">
              <a16:creationId xmlns:a16="http://schemas.microsoft.com/office/drawing/2014/main" id="{00000000-0008-0000-0400-00002E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8751" name="Straight Connector 8750">
          <a:extLst>
            <a:ext uri="{FF2B5EF4-FFF2-40B4-BE49-F238E27FC236}">
              <a16:creationId xmlns:a16="http://schemas.microsoft.com/office/drawing/2014/main" id="{00000000-0008-0000-0400-00002F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8752" name="Straight Connector 8751">
          <a:extLst>
            <a:ext uri="{FF2B5EF4-FFF2-40B4-BE49-F238E27FC236}">
              <a16:creationId xmlns:a16="http://schemas.microsoft.com/office/drawing/2014/main" id="{00000000-0008-0000-0400-000030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8753" name="Straight Connector 8752">
          <a:extLst>
            <a:ext uri="{FF2B5EF4-FFF2-40B4-BE49-F238E27FC236}">
              <a16:creationId xmlns:a16="http://schemas.microsoft.com/office/drawing/2014/main" id="{00000000-0008-0000-0400-000031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8754" name="Straight Connector 8753">
          <a:extLst>
            <a:ext uri="{FF2B5EF4-FFF2-40B4-BE49-F238E27FC236}">
              <a16:creationId xmlns:a16="http://schemas.microsoft.com/office/drawing/2014/main" id="{00000000-0008-0000-0400-000032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8755" name="Straight Connector 8754">
          <a:extLst>
            <a:ext uri="{FF2B5EF4-FFF2-40B4-BE49-F238E27FC236}">
              <a16:creationId xmlns:a16="http://schemas.microsoft.com/office/drawing/2014/main" id="{00000000-0008-0000-0400-000033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8756" name="Straight Connector 8755">
          <a:extLst>
            <a:ext uri="{FF2B5EF4-FFF2-40B4-BE49-F238E27FC236}">
              <a16:creationId xmlns:a16="http://schemas.microsoft.com/office/drawing/2014/main" id="{00000000-0008-0000-0400-000034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8757" name="Straight Connector 8756">
          <a:extLst>
            <a:ext uri="{FF2B5EF4-FFF2-40B4-BE49-F238E27FC236}">
              <a16:creationId xmlns:a16="http://schemas.microsoft.com/office/drawing/2014/main" id="{00000000-0008-0000-0400-000035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8758" name="Straight Connector 8757">
          <a:extLst>
            <a:ext uri="{FF2B5EF4-FFF2-40B4-BE49-F238E27FC236}">
              <a16:creationId xmlns:a16="http://schemas.microsoft.com/office/drawing/2014/main" id="{00000000-0008-0000-0400-000036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8759" name="Straight Connector 8758">
          <a:extLst>
            <a:ext uri="{FF2B5EF4-FFF2-40B4-BE49-F238E27FC236}">
              <a16:creationId xmlns:a16="http://schemas.microsoft.com/office/drawing/2014/main" id="{00000000-0008-0000-0400-000037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8760" name="Straight Connector 8759">
          <a:extLst>
            <a:ext uri="{FF2B5EF4-FFF2-40B4-BE49-F238E27FC236}">
              <a16:creationId xmlns:a16="http://schemas.microsoft.com/office/drawing/2014/main" id="{00000000-0008-0000-0400-000038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8761" name="Straight Connector 8760">
          <a:extLst>
            <a:ext uri="{FF2B5EF4-FFF2-40B4-BE49-F238E27FC236}">
              <a16:creationId xmlns:a16="http://schemas.microsoft.com/office/drawing/2014/main" id="{00000000-0008-0000-0400-000039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8762" name="Straight Connector 8761">
          <a:extLst>
            <a:ext uri="{FF2B5EF4-FFF2-40B4-BE49-F238E27FC236}">
              <a16:creationId xmlns:a16="http://schemas.microsoft.com/office/drawing/2014/main" id="{00000000-0008-0000-0400-00003A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8763" name="Straight Connector 8762">
          <a:extLst>
            <a:ext uri="{FF2B5EF4-FFF2-40B4-BE49-F238E27FC236}">
              <a16:creationId xmlns:a16="http://schemas.microsoft.com/office/drawing/2014/main" id="{00000000-0008-0000-0400-00003B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8764" name="Straight Connector 8763">
          <a:extLst>
            <a:ext uri="{FF2B5EF4-FFF2-40B4-BE49-F238E27FC236}">
              <a16:creationId xmlns:a16="http://schemas.microsoft.com/office/drawing/2014/main" id="{00000000-0008-0000-0400-00003C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8765" name="Straight Connector 8764">
          <a:extLst>
            <a:ext uri="{FF2B5EF4-FFF2-40B4-BE49-F238E27FC236}">
              <a16:creationId xmlns:a16="http://schemas.microsoft.com/office/drawing/2014/main" id="{00000000-0008-0000-0400-00003D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8766" name="Straight Connector 8765">
          <a:extLst>
            <a:ext uri="{FF2B5EF4-FFF2-40B4-BE49-F238E27FC236}">
              <a16:creationId xmlns:a16="http://schemas.microsoft.com/office/drawing/2014/main" id="{00000000-0008-0000-0400-00003E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8767" name="Straight Connector 8766">
          <a:extLst>
            <a:ext uri="{FF2B5EF4-FFF2-40B4-BE49-F238E27FC236}">
              <a16:creationId xmlns:a16="http://schemas.microsoft.com/office/drawing/2014/main" id="{00000000-0008-0000-0400-00003F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8768" name="Straight Connector 8767">
          <a:extLst>
            <a:ext uri="{FF2B5EF4-FFF2-40B4-BE49-F238E27FC236}">
              <a16:creationId xmlns:a16="http://schemas.microsoft.com/office/drawing/2014/main" id="{00000000-0008-0000-0400-000040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8769" name="Straight Connector 8768">
          <a:extLst>
            <a:ext uri="{FF2B5EF4-FFF2-40B4-BE49-F238E27FC236}">
              <a16:creationId xmlns:a16="http://schemas.microsoft.com/office/drawing/2014/main" id="{00000000-0008-0000-0400-000041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8770" name="Straight Connector 8769">
          <a:extLst>
            <a:ext uri="{FF2B5EF4-FFF2-40B4-BE49-F238E27FC236}">
              <a16:creationId xmlns:a16="http://schemas.microsoft.com/office/drawing/2014/main" id="{00000000-0008-0000-0400-000042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8771" name="Straight Connector 8770">
          <a:extLst>
            <a:ext uri="{FF2B5EF4-FFF2-40B4-BE49-F238E27FC236}">
              <a16:creationId xmlns:a16="http://schemas.microsoft.com/office/drawing/2014/main" id="{00000000-0008-0000-0400-000043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8772" name="Straight Connector 8771">
          <a:extLst>
            <a:ext uri="{FF2B5EF4-FFF2-40B4-BE49-F238E27FC236}">
              <a16:creationId xmlns:a16="http://schemas.microsoft.com/office/drawing/2014/main" id="{00000000-0008-0000-0400-000044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8773" name="Straight Connector 8772">
          <a:extLst>
            <a:ext uri="{FF2B5EF4-FFF2-40B4-BE49-F238E27FC236}">
              <a16:creationId xmlns:a16="http://schemas.microsoft.com/office/drawing/2014/main" id="{00000000-0008-0000-0400-000045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8774" name="Straight Connector 8773">
          <a:extLst>
            <a:ext uri="{FF2B5EF4-FFF2-40B4-BE49-F238E27FC236}">
              <a16:creationId xmlns:a16="http://schemas.microsoft.com/office/drawing/2014/main" id="{00000000-0008-0000-0400-000046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8775" name="Straight Connector 8774">
          <a:extLst>
            <a:ext uri="{FF2B5EF4-FFF2-40B4-BE49-F238E27FC236}">
              <a16:creationId xmlns:a16="http://schemas.microsoft.com/office/drawing/2014/main" id="{00000000-0008-0000-0400-000047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8776" name="Straight Connector 8775">
          <a:extLst>
            <a:ext uri="{FF2B5EF4-FFF2-40B4-BE49-F238E27FC236}">
              <a16:creationId xmlns:a16="http://schemas.microsoft.com/office/drawing/2014/main" id="{00000000-0008-0000-0400-000048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8777" name="Straight Connector 8776">
          <a:extLst>
            <a:ext uri="{FF2B5EF4-FFF2-40B4-BE49-F238E27FC236}">
              <a16:creationId xmlns:a16="http://schemas.microsoft.com/office/drawing/2014/main" id="{00000000-0008-0000-0400-000049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8778" name="Straight Connector 8777">
          <a:extLst>
            <a:ext uri="{FF2B5EF4-FFF2-40B4-BE49-F238E27FC236}">
              <a16:creationId xmlns:a16="http://schemas.microsoft.com/office/drawing/2014/main" id="{00000000-0008-0000-0400-00004A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8779" name="Straight Connector 8778">
          <a:extLst>
            <a:ext uri="{FF2B5EF4-FFF2-40B4-BE49-F238E27FC236}">
              <a16:creationId xmlns:a16="http://schemas.microsoft.com/office/drawing/2014/main" id="{00000000-0008-0000-0400-00004B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8780" name="Straight Connector 8779">
          <a:extLst>
            <a:ext uri="{FF2B5EF4-FFF2-40B4-BE49-F238E27FC236}">
              <a16:creationId xmlns:a16="http://schemas.microsoft.com/office/drawing/2014/main" id="{00000000-0008-0000-0400-00004C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8781" name="Straight Connector 8780">
          <a:extLst>
            <a:ext uri="{FF2B5EF4-FFF2-40B4-BE49-F238E27FC236}">
              <a16:creationId xmlns:a16="http://schemas.microsoft.com/office/drawing/2014/main" id="{00000000-0008-0000-0400-00004D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8782" name="Straight Connector 8781">
          <a:extLst>
            <a:ext uri="{FF2B5EF4-FFF2-40B4-BE49-F238E27FC236}">
              <a16:creationId xmlns:a16="http://schemas.microsoft.com/office/drawing/2014/main" id="{00000000-0008-0000-0400-00004E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8783" name="Straight Connector 8782">
          <a:extLst>
            <a:ext uri="{FF2B5EF4-FFF2-40B4-BE49-F238E27FC236}">
              <a16:creationId xmlns:a16="http://schemas.microsoft.com/office/drawing/2014/main" id="{00000000-0008-0000-0400-00004F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8784" name="Straight Connector 8783">
          <a:extLst>
            <a:ext uri="{FF2B5EF4-FFF2-40B4-BE49-F238E27FC236}">
              <a16:creationId xmlns:a16="http://schemas.microsoft.com/office/drawing/2014/main" id="{00000000-0008-0000-0400-000050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8785" name="Straight Connector 8784">
          <a:extLst>
            <a:ext uri="{FF2B5EF4-FFF2-40B4-BE49-F238E27FC236}">
              <a16:creationId xmlns:a16="http://schemas.microsoft.com/office/drawing/2014/main" id="{00000000-0008-0000-0400-000051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8786" name="Straight Connector 8785">
          <a:extLst>
            <a:ext uri="{FF2B5EF4-FFF2-40B4-BE49-F238E27FC236}">
              <a16:creationId xmlns:a16="http://schemas.microsoft.com/office/drawing/2014/main" id="{00000000-0008-0000-0400-000052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8787" name="Straight Connector 8786">
          <a:extLst>
            <a:ext uri="{FF2B5EF4-FFF2-40B4-BE49-F238E27FC236}">
              <a16:creationId xmlns:a16="http://schemas.microsoft.com/office/drawing/2014/main" id="{00000000-0008-0000-0400-000053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8788" name="Straight Connector 8787">
          <a:extLst>
            <a:ext uri="{FF2B5EF4-FFF2-40B4-BE49-F238E27FC236}">
              <a16:creationId xmlns:a16="http://schemas.microsoft.com/office/drawing/2014/main" id="{00000000-0008-0000-0400-000054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8789" name="Straight Connector 8788">
          <a:extLst>
            <a:ext uri="{FF2B5EF4-FFF2-40B4-BE49-F238E27FC236}">
              <a16:creationId xmlns:a16="http://schemas.microsoft.com/office/drawing/2014/main" id="{00000000-0008-0000-0400-000055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8790" name="Straight Connector 8789">
          <a:extLst>
            <a:ext uri="{FF2B5EF4-FFF2-40B4-BE49-F238E27FC236}">
              <a16:creationId xmlns:a16="http://schemas.microsoft.com/office/drawing/2014/main" id="{00000000-0008-0000-0400-000056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8791" name="Straight Connector 8790">
          <a:extLst>
            <a:ext uri="{FF2B5EF4-FFF2-40B4-BE49-F238E27FC236}">
              <a16:creationId xmlns:a16="http://schemas.microsoft.com/office/drawing/2014/main" id="{00000000-0008-0000-0400-000057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8792" name="Straight Connector 8791">
          <a:extLst>
            <a:ext uri="{FF2B5EF4-FFF2-40B4-BE49-F238E27FC236}">
              <a16:creationId xmlns:a16="http://schemas.microsoft.com/office/drawing/2014/main" id="{00000000-0008-0000-0400-000058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8793" name="Straight Connector 8792">
          <a:extLst>
            <a:ext uri="{FF2B5EF4-FFF2-40B4-BE49-F238E27FC236}">
              <a16:creationId xmlns:a16="http://schemas.microsoft.com/office/drawing/2014/main" id="{00000000-0008-0000-0400-000059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8794" name="Straight Connector 8793">
          <a:extLst>
            <a:ext uri="{FF2B5EF4-FFF2-40B4-BE49-F238E27FC236}">
              <a16:creationId xmlns:a16="http://schemas.microsoft.com/office/drawing/2014/main" id="{00000000-0008-0000-0400-00005A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8795" name="Straight Connector 8794">
          <a:extLst>
            <a:ext uri="{FF2B5EF4-FFF2-40B4-BE49-F238E27FC236}">
              <a16:creationId xmlns:a16="http://schemas.microsoft.com/office/drawing/2014/main" id="{00000000-0008-0000-0400-00005B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796" name="Straight Connector 8795">
          <a:extLst>
            <a:ext uri="{FF2B5EF4-FFF2-40B4-BE49-F238E27FC236}">
              <a16:creationId xmlns:a16="http://schemas.microsoft.com/office/drawing/2014/main" id="{00000000-0008-0000-0400-00005C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797" name="Straight Connector 8796">
          <a:extLst>
            <a:ext uri="{FF2B5EF4-FFF2-40B4-BE49-F238E27FC236}">
              <a16:creationId xmlns:a16="http://schemas.microsoft.com/office/drawing/2014/main" id="{00000000-0008-0000-0400-00005D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798" name="Straight Connector 8797">
          <a:extLst>
            <a:ext uri="{FF2B5EF4-FFF2-40B4-BE49-F238E27FC236}">
              <a16:creationId xmlns:a16="http://schemas.microsoft.com/office/drawing/2014/main" id="{00000000-0008-0000-0400-00005E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799" name="Straight Connector 8798">
          <a:extLst>
            <a:ext uri="{FF2B5EF4-FFF2-40B4-BE49-F238E27FC236}">
              <a16:creationId xmlns:a16="http://schemas.microsoft.com/office/drawing/2014/main" id="{00000000-0008-0000-0400-00005F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800" name="Straight Connector 8799">
          <a:extLst>
            <a:ext uri="{FF2B5EF4-FFF2-40B4-BE49-F238E27FC236}">
              <a16:creationId xmlns:a16="http://schemas.microsoft.com/office/drawing/2014/main" id="{00000000-0008-0000-0400-000060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801" name="Straight Connector 8800">
          <a:extLst>
            <a:ext uri="{FF2B5EF4-FFF2-40B4-BE49-F238E27FC236}">
              <a16:creationId xmlns:a16="http://schemas.microsoft.com/office/drawing/2014/main" id="{00000000-0008-0000-0400-000061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802" name="Straight Connector 8801">
          <a:extLst>
            <a:ext uri="{FF2B5EF4-FFF2-40B4-BE49-F238E27FC236}">
              <a16:creationId xmlns:a16="http://schemas.microsoft.com/office/drawing/2014/main" id="{00000000-0008-0000-0400-000062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803" name="Straight Connector 8802">
          <a:extLst>
            <a:ext uri="{FF2B5EF4-FFF2-40B4-BE49-F238E27FC236}">
              <a16:creationId xmlns:a16="http://schemas.microsoft.com/office/drawing/2014/main" id="{00000000-0008-0000-0400-000063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804" name="Straight Connector 8803">
          <a:extLst>
            <a:ext uri="{FF2B5EF4-FFF2-40B4-BE49-F238E27FC236}">
              <a16:creationId xmlns:a16="http://schemas.microsoft.com/office/drawing/2014/main" id="{00000000-0008-0000-0400-000064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805" name="Straight Connector 8804">
          <a:extLst>
            <a:ext uri="{FF2B5EF4-FFF2-40B4-BE49-F238E27FC236}">
              <a16:creationId xmlns:a16="http://schemas.microsoft.com/office/drawing/2014/main" id="{00000000-0008-0000-0400-000065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806" name="Straight Connector 8805">
          <a:extLst>
            <a:ext uri="{FF2B5EF4-FFF2-40B4-BE49-F238E27FC236}">
              <a16:creationId xmlns:a16="http://schemas.microsoft.com/office/drawing/2014/main" id="{00000000-0008-0000-0400-000066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807" name="Straight Connector 8806">
          <a:extLst>
            <a:ext uri="{FF2B5EF4-FFF2-40B4-BE49-F238E27FC236}">
              <a16:creationId xmlns:a16="http://schemas.microsoft.com/office/drawing/2014/main" id="{00000000-0008-0000-0400-000067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808" name="Straight Connector 8807">
          <a:extLst>
            <a:ext uri="{FF2B5EF4-FFF2-40B4-BE49-F238E27FC236}">
              <a16:creationId xmlns:a16="http://schemas.microsoft.com/office/drawing/2014/main" id="{00000000-0008-0000-0400-000068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809" name="Straight Connector 8808">
          <a:extLst>
            <a:ext uri="{FF2B5EF4-FFF2-40B4-BE49-F238E27FC236}">
              <a16:creationId xmlns:a16="http://schemas.microsoft.com/office/drawing/2014/main" id="{00000000-0008-0000-0400-000069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810" name="Straight Connector 8809">
          <a:extLst>
            <a:ext uri="{FF2B5EF4-FFF2-40B4-BE49-F238E27FC236}">
              <a16:creationId xmlns:a16="http://schemas.microsoft.com/office/drawing/2014/main" id="{00000000-0008-0000-0400-00006A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811" name="Straight Connector 8810">
          <a:extLst>
            <a:ext uri="{FF2B5EF4-FFF2-40B4-BE49-F238E27FC236}">
              <a16:creationId xmlns:a16="http://schemas.microsoft.com/office/drawing/2014/main" id="{00000000-0008-0000-0400-00006B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812" name="Straight Connector 8811">
          <a:extLst>
            <a:ext uri="{FF2B5EF4-FFF2-40B4-BE49-F238E27FC236}">
              <a16:creationId xmlns:a16="http://schemas.microsoft.com/office/drawing/2014/main" id="{00000000-0008-0000-0400-00006C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813" name="Straight Connector 8812">
          <a:extLst>
            <a:ext uri="{FF2B5EF4-FFF2-40B4-BE49-F238E27FC236}">
              <a16:creationId xmlns:a16="http://schemas.microsoft.com/office/drawing/2014/main" id="{00000000-0008-0000-0400-00006D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8814" name="Straight Connector 8813">
          <a:extLst>
            <a:ext uri="{FF2B5EF4-FFF2-40B4-BE49-F238E27FC236}">
              <a16:creationId xmlns:a16="http://schemas.microsoft.com/office/drawing/2014/main" id="{00000000-0008-0000-0400-00006E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8815" name="Straight Connector 8814">
          <a:extLst>
            <a:ext uri="{FF2B5EF4-FFF2-40B4-BE49-F238E27FC236}">
              <a16:creationId xmlns:a16="http://schemas.microsoft.com/office/drawing/2014/main" id="{00000000-0008-0000-0400-00006F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8816" name="Straight Connector 8815">
          <a:extLst>
            <a:ext uri="{FF2B5EF4-FFF2-40B4-BE49-F238E27FC236}">
              <a16:creationId xmlns:a16="http://schemas.microsoft.com/office/drawing/2014/main" id="{00000000-0008-0000-0400-000070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8817" name="Straight Connector 8816">
          <a:extLst>
            <a:ext uri="{FF2B5EF4-FFF2-40B4-BE49-F238E27FC236}">
              <a16:creationId xmlns:a16="http://schemas.microsoft.com/office/drawing/2014/main" id="{00000000-0008-0000-0400-000071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8818" name="Straight Connector 8817">
          <a:extLst>
            <a:ext uri="{FF2B5EF4-FFF2-40B4-BE49-F238E27FC236}">
              <a16:creationId xmlns:a16="http://schemas.microsoft.com/office/drawing/2014/main" id="{00000000-0008-0000-0400-000072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8819" name="Straight Connector 8818">
          <a:extLst>
            <a:ext uri="{FF2B5EF4-FFF2-40B4-BE49-F238E27FC236}">
              <a16:creationId xmlns:a16="http://schemas.microsoft.com/office/drawing/2014/main" id="{00000000-0008-0000-0400-000073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8820" name="Straight Connector 8819">
          <a:extLst>
            <a:ext uri="{FF2B5EF4-FFF2-40B4-BE49-F238E27FC236}">
              <a16:creationId xmlns:a16="http://schemas.microsoft.com/office/drawing/2014/main" id="{00000000-0008-0000-0400-000074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8821" name="Straight Connector 8820">
          <a:extLst>
            <a:ext uri="{FF2B5EF4-FFF2-40B4-BE49-F238E27FC236}">
              <a16:creationId xmlns:a16="http://schemas.microsoft.com/office/drawing/2014/main" id="{00000000-0008-0000-0400-000075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8822" name="Straight Connector 8821">
          <a:extLst>
            <a:ext uri="{FF2B5EF4-FFF2-40B4-BE49-F238E27FC236}">
              <a16:creationId xmlns:a16="http://schemas.microsoft.com/office/drawing/2014/main" id="{00000000-0008-0000-0400-000076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8823" name="Straight Connector 8822">
          <a:extLst>
            <a:ext uri="{FF2B5EF4-FFF2-40B4-BE49-F238E27FC236}">
              <a16:creationId xmlns:a16="http://schemas.microsoft.com/office/drawing/2014/main" id="{00000000-0008-0000-0400-000077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8824" name="Straight Connector 8823">
          <a:extLst>
            <a:ext uri="{FF2B5EF4-FFF2-40B4-BE49-F238E27FC236}">
              <a16:creationId xmlns:a16="http://schemas.microsoft.com/office/drawing/2014/main" id="{00000000-0008-0000-0400-000078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8825" name="Straight Connector 8824">
          <a:extLst>
            <a:ext uri="{FF2B5EF4-FFF2-40B4-BE49-F238E27FC236}">
              <a16:creationId xmlns:a16="http://schemas.microsoft.com/office/drawing/2014/main" id="{00000000-0008-0000-0400-000079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8826" name="Straight Connector 8825">
          <a:extLst>
            <a:ext uri="{FF2B5EF4-FFF2-40B4-BE49-F238E27FC236}">
              <a16:creationId xmlns:a16="http://schemas.microsoft.com/office/drawing/2014/main" id="{00000000-0008-0000-0400-00007A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8827" name="Straight Connector 8826">
          <a:extLst>
            <a:ext uri="{FF2B5EF4-FFF2-40B4-BE49-F238E27FC236}">
              <a16:creationId xmlns:a16="http://schemas.microsoft.com/office/drawing/2014/main" id="{00000000-0008-0000-0400-00007B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8828" name="Straight Connector 8827">
          <a:extLst>
            <a:ext uri="{FF2B5EF4-FFF2-40B4-BE49-F238E27FC236}">
              <a16:creationId xmlns:a16="http://schemas.microsoft.com/office/drawing/2014/main" id="{00000000-0008-0000-0400-00007C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8829" name="Straight Connector 8828">
          <a:extLst>
            <a:ext uri="{FF2B5EF4-FFF2-40B4-BE49-F238E27FC236}">
              <a16:creationId xmlns:a16="http://schemas.microsoft.com/office/drawing/2014/main" id="{00000000-0008-0000-0400-00007D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8830" name="Straight Connector 8829">
          <a:extLst>
            <a:ext uri="{FF2B5EF4-FFF2-40B4-BE49-F238E27FC236}">
              <a16:creationId xmlns:a16="http://schemas.microsoft.com/office/drawing/2014/main" id="{00000000-0008-0000-0400-00007E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8831" name="Straight Connector 8830">
          <a:extLst>
            <a:ext uri="{FF2B5EF4-FFF2-40B4-BE49-F238E27FC236}">
              <a16:creationId xmlns:a16="http://schemas.microsoft.com/office/drawing/2014/main" id="{00000000-0008-0000-0400-00007F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8832" name="Straight Connector 8831">
          <a:extLst>
            <a:ext uri="{FF2B5EF4-FFF2-40B4-BE49-F238E27FC236}">
              <a16:creationId xmlns:a16="http://schemas.microsoft.com/office/drawing/2014/main" id="{00000000-0008-0000-0400-000080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8833" name="Straight Connector 8832">
          <a:extLst>
            <a:ext uri="{FF2B5EF4-FFF2-40B4-BE49-F238E27FC236}">
              <a16:creationId xmlns:a16="http://schemas.microsoft.com/office/drawing/2014/main" id="{00000000-0008-0000-0400-000081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8834" name="Straight Connector 8833">
          <a:extLst>
            <a:ext uri="{FF2B5EF4-FFF2-40B4-BE49-F238E27FC236}">
              <a16:creationId xmlns:a16="http://schemas.microsoft.com/office/drawing/2014/main" id="{00000000-0008-0000-0400-000082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8835" name="Straight Connector 8834">
          <a:extLst>
            <a:ext uri="{FF2B5EF4-FFF2-40B4-BE49-F238E27FC236}">
              <a16:creationId xmlns:a16="http://schemas.microsoft.com/office/drawing/2014/main" id="{00000000-0008-0000-0400-000083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8836" name="Straight Connector 8835">
          <a:extLst>
            <a:ext uri="{FF2B5EF4-FFF2-40B4-BE49-F238E27FC236}">
              <a16:creationId xmlns:a16="http://schemas.microsoft.com/office/drawing/2014/main" id="{00000000-0008-0000-0400-000084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8837" name="Straight Connector 8836">
          <a:extLst>
            <a:ext uri="{FF2B5EF4-FFF2-40B4-BE49-F238E27FC236}">
              <a16:creationId xmlns:a16="http://schemas.microsoft.com/office/drawing/2014/main" id="{00000000-0008-0000-0400-000085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8838" name="Straight Connector 8837">
          <a:extLst>
            <a:ext uri="{FF2B5EF4-FFF2-40B4-BE49-F238E27FC236}">
              <a16:creationId xmlns:a16="http://schemas.microsoft.com/office/drawing/2014/main" id="{00000000-0008-0000-0400-000086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8839" name="Straight Connector 8838">
          <a:extLst>
            <a:ext uri="{FF2B5EF4-FFF2-40B4-BE49-F238E27FC236}">
              <a16:creationId xmlns:a16="http://schemas.microsoft.com/office/drawing/2014/main" id="{00000000-0008-0000-0400-000087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8840" name="Straight Connector 8839">
          <a:extLst>
            <a:ext uri="{FF2B5EF4-FFF2-40B4-BE49-F238E27FC236}">
              <a16:creationId xmlns:a16="http://schemas.microsoft.com/office/drawing/2014/main" id="{00000000-0008-0000-0400-000088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8841" name="Straight Connector 8840">
          <a:extLst>
            <a:ext uri="{FF2B5EF4-FFF2-40B4-BE49-F238E27FC236}">
              <a16:creationId xmlns:a16="http://schemas.microsoft.com/office/drawing/2014/main" id="{00000000-0008-0000-0400-000089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8842" name="Straight Connector 8841">
          <a:extLst>
            <a:ext uri="{FF2B5EF4-FFF2-40B4-BE49-F238E27FC236}">
              <a16:creationId xmlns:a16="http://schemas.microsoft.com/office/drawing/2014/main" id="{00000000-0008-0000-0400-00008A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8843" name="Straight Connector 8842">
          <a:extLst>
            <a:ext uri="{FF2B5EF4-FFF2-40B4-BE49-F238E27FC236}">
              <a16:creationId xmlns:a16="http://schemas.microsoft.com/office/drawing/2014/main" id="{00000000-0008-0000-0400-00008B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8844" name="Straight Connector 8843">
          <a:extLst>
            <a:ext uri="{FF2B5EF4-FFF2-40B4-BE49-F238E27FC236}">
              <a16:creationId xmlns:a16="http://schemas.microsoft.com/office/drawing/2014/main" id="{00000000-0008-0000-0400-00008C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8845" name="Straight Connector 8844">
          <a:extLst>
            <a:ext uri="{FF2B5EF4-FFF2-40B4-BE49-F238E27FC236}">
              <a16:creationId xmlns:a16="http://schemas.microsoft.com/office/drawing/2014/main" id="{00000000-0008-0000-0400-00008D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8846" name="Straight Connector 8845">
          <a:extLst>
            <a:ext uri="{FF2B5EF4-FFF2-40B4-BE49-F238E27FC236}">
              <a16:creationId xmlns:a16="http://schemas.microsoft.com/office/drawing/2014/main" id="{00000000-0008-0000-0400-00008E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8847" name="Straight Connector 8846">
          <a:extLst>
            <a:ext uri="{FF2B5EF4-FFF2-40B4-BE49-F238E27FC236}">
              <a16:creationId xmlns:a16="http://schemas.microsoft.com/office/drawing/2014/main" id="{00000000-0008-0000-0400-00008F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8848" name="Straight Connector 8847">
          <a:extLst>
            <a:ext uri="{FF2B5EF4-FFF2-40B4-BE49-F238E27FC236}">
              <a16:creationId xmlns:a16="http://schemas.microsoft.com/office/drawing/2014/main" id="{00000000-0008-0000-0400-000090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8849" name="Straight Connector 8848">
          <a:extLst>
            <a:ext uri="{FF2B5EF4-FFF2-40B4-BE49-F238E27FC236}">
              <a16:creationId xmlns:a16="http://schemas.microsoft.com/office/drawing/2014/main" id="{00000000-0008-0000-0400-000091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8850" name="Straight Connector 8849">
          <a:extLst>
            <a:ext uri="{FF2B5EF4-FFF2-40B4-BE49-F238E27FC236}">
              <a16:creationId xmlns:a16="http://schemas.microsoft.com/office/drawing/2014/main" id="{00000000-0008-0000-0400-000092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8851" name="Straight Connector 8850">
          <a:extLst>
            <a:ext uri="{FF2B5EF4-FFF2-40B4-BE49-F238E27FC236}">
              <a16:creationId xmlns:a16="http://schemas.microsoft.com/office/drawing/2014/main" id="{00000000-0008-0000-0400-000093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8852" name="Straight Connector 8851">
          <a:extLst>
            <a:ext uri="{FF2B5EF4-FFF2-40B4-BE49-F238E27FC236}">
              <a16:creationId xmlns:a16="http://schemas.microsoft.com/office/drawing/2014/main" id="{00000000-0008-0000-0400-000094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8853" name="Straight Connector 8852">
          <a:extLst>
            <a:ext uri="{FF2B5EF4-FFF2-40B4-BE49-F238E27FC236}">
              <a16:creationId xmlns:a16="http://schemas.microsoft.com/office/drawing/2014/main" id="{00000000-0008-0000-0400-000095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8854" name="Straight Connector 8853">
          <a:extLst>
            <a:ext uri="{FF2B5EF4-FFF2-40B4-BE49-F238E27FC236}">
              <a16:creationId xmlns:a16="http://schemas.microsoft.com/office/drawing/2014/main" id="{00000000-0008-0000-0400-000096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8855" name="Straight Connector 8854">
          <a:extLst>
            <a:ext uri="{FF2B5EF4-FFF2-40B4-BE49-F238E27FC236}">
              <a16:creationId xmlns:a16="http://schemas.microsoft.com/office/drawing/2014/main" id="{00000000-0008-0000-0400-000097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8856" name="Straight Connector 8855">
          <a:extLst>
            <a:ext uri="{FF2B5EF4-FFF2-40B4-BE49-F238E27FC236}">
              <a16:creationId xmlns:a16="http://schemas.microsoft.com/office/drawing/2014/main" id="{00000000-0008-0000-0400-000098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8857" name="Straight Connector 8856">
          <a:extLst>
            <a:ext uri="{FF2B5EF4-FFF2-40B4-BE49-F238E27FC236}">
              <a16:creationId xmlns:a16="http://schemas.microsoft.com/office/drawing/2014/main" id="{00000000-0008-0000-0400-000099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8858" name="Straight Connector 8857">
          <a:extLst>
            <a:ext uri="{FF2B5EF4-FFF2-40B4-BE49-F238E27FC236}">
              <a16:creationId xmlns:a16="http://schemas.microsoft.com/office/drawing/2014/main" id="{00000000-0008-0000-0400-00009A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859" name="Straight Connector 8858">
          <a:extLst>
            <a:ext uri="{FF2B5EF4-FFF2-40B4-BE49-F238E27FC236}">
              <a16:creationId xmlns:a16="http://schemas.microsoft.com/office/drawing/2014/main" id="{00000000-0008-0000-0400-00009B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860" name="Straight Connector 8859">
          <a:extLst>
            <a:ext uri="{FF2B5EF4-FFF2-40B4-BE49-F238E27FC236}">
              <a16:creationId xmlns:a16="http://schemas.microsoft.com/office/drawing/2014/main" id="{00000000-0008-0000-0400-00009C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861" name="Straight Connector 8860">
          <a:extLst>
            <a:ext uri="{FF2B5EF4-FFF2-40B4-BE49-F238E27FC236}">
              <a16:creationId xmlns:a16="http://schemas.microsoft.com/office/drawing/2014/main" id="{00000000-0008-0000-0400-00009D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862" name="Straight Connector 8861">
          <a:extLst>
            <a:ext uri="{FF2B5EF4-FFF2-40B4-BE49-F238E27FC236}">
              <a16:creationId xmlns:a16="http://schemas.microsoft.com/office/drawing/2014/main" id="{00000000-0008-0000-0400-00009E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863" name="Straight Connector 8862">
          <a:extLst>
            <a:ext uri="{FF2B5EF4-FFF2-40B4-BE49-F238E27FC236}">
              <a16:creationId xmlns:a16="http://schemas.microsoft.com/office/drawing/2014/main" id="{00000000-0008-0000-0400-00009F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864" name="Straight Connector 8863">
          <a:extLst>
            <a:ext uri="{FF2B5EF4-FFF2-40B4-BE49-F238E27FC236}">
              <a16:creationId xmlns:a16="http://schemas.microsoft.com/office/drawing/2014/main" id="{00000000-0008-0000-0400-0000A0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865" name="Straight Connector 8864">
          <a:extLst>
            <a:ext uri="{FF2B5EF4-FFF2-40B4-BE49-F238E27FC236}">
              <a16:creationId xmlns:a16="http://schemas.microsoft.com/office/drawing/2014/main" id="{00000000-0008-0000-0400-0000A1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866" name="Straight Connector 8865">
          <a:extLst>
            <a:ext uri="{FF2B5EF4-FFF2-40B4-BE49-F238E27FC236}">
              <a16:creationId xmlns:a16="http://schemas.microsoft.com/office/drawing/2014/main" id="{00000000-0008-0000-0400-0000A2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8867" name="Straight Connector 8866">
          <a:extLst>
            <a:ext uri="{FF2B5EF4-FFF2-40B4-BE49-F238E27FC236}">
              <a16:creationId xmlns:a16="http://schemas.microsoft.com/office/drawing/2014/main" id="{00000000-0008-0000-0400-0000A322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8877" name="Straight Connector 8876">
          <a:extLst>
            <a:ext uri="{FF2B5EF4-FFF2-40B4-BE49-F238E27FC236}">
              <a16:creationId xmlns:a16="http://schemas.microsoft.com/office/drawing/2014/main" id="{00000000-0008-0000-0400-0000AD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8878" name="Straight Connector 8877">
          <a:extLst>
            <a:ext uri="{FF2B5EF4-FFF2-40B4-BE49-F238E27FC236}">
              <a16:creationId xmlns:a16="http://schemas.microsoft.com/office/drawing/2014/main" id="{00000000-0008-0000-0400-0000AE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8879" name="Straight Connector 8878">
          <a:extLst>
            <a:ext uri="{FF2B5EF4-FFF2-40B4-BE49-F238E27FC236}">
              <a16:creationId xmlns:a16="http://schemas.microsoft.com/office/drawing/2014/main" id="{00000000-0008-0000-0400-0000AF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8880" name="Straight Connector 8879">
          <a:extLst>
            <a:ext uri="{FF2B5EF4-FFF2-40B4-BE49-F238E27FC236}">
              <a16:creationId xmlns:a16="http://schemas.microsoft.com/office/drawing/2014/main" id="{00000000-0008-0000-0400-0000B0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8881" name="Straight Connector 8880">
          <a:extLst>
            <a:ext uri="{FF2B5EF4-FFF2-40B4-BE49-F238E27FC236}">
              <a16:creationId xmlns:a16="http://schemas.microsoft.com/office/drawing/2014/main" id="{00000000-0008-0000-0400-0000B1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8882" name="Straight Connector 8881">
          <a:extLst>
            <a:ext uri="{FF2B5EF4-FFF2-40B4-BE49-F238E27FC236}">
              <a16:creationId xmlns:a16="http://schemas.microsoft.com/office/drawing/2014/main" id="{00000000-0008-0000-0400-0000B2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8883" name="Straight Connector 8882">
          <a:extLst>
            <a:ext uri="{FF2B5EF4-FFF2-40B4-BE49-F238E27FC236}">
              <a16:creationId xmlns:a16="http://schemas.microsoft.com/office/drawing/2014/main" id="{00000000-0008-0000-0400-0000B3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8884" name="Straight Connector 8883">
          <a:extLst>
            <a:ext uri="{FF2B5EF4-FFF2-40B4-BE49-F238E27FC236}">
              <a16:creationId xmlns:a16="http://schemas.microsoft.com/office/drawing/2014/main" id="{00000000-0008-0000-0400-0000B4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8885" name="Straight Connector 8884">
          <a:extLst>
            <a:ext uri="{FF2B5EF4-FFF2-40B4-BE49-F238E27FC236}">
              <a16:creationId xmlns:a16="http://schemas.microsoft.com/office/drawing/2014/main" id="{00000000-0008-0000-0400-0000B5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8886" name="Straight Connector 8885">
          <a:extLst>
            <a:ext uri="{FF2B5EF4-FFF2-40B4-BE49-F238E27FC236}">
              <a16:creationId xmlns:a16="http://schemas.microsoft.com/office/drawing/2014/main" id="{00000000-0008-0000-0400-0000B6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8887" name="Straight Connector 8886">
          <a:extLst>
            <a:ext uri="{FF2B5EF4-FFF2-40B4-BE49-F238E27FC236}">
              <a16:creationId xmlns:a16="http://schemas.microsoft.com/office/drawing/2014/main" id="{00000000-0008-0000-0400-0000B7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8888" name="Straight Connector 8887">
          <a:extLst>
            <a:ext uri="{FF2B5EF4-FFF2-40B4-BE49-F238E27FC236}">
              <a16:creationId xmlns:a16="http://schemas.microsoft.com/office/drawing/2014/main" id="{00000000-0008-0000-0400-0000B8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8889" name="Straight Connector 8888">
          <a:extLst>
            <a:ext uri="{FF2B5EF4-FFF2-40B4-BE49-F238E27FC236}">
              <a16:creationId xmlns:a16="http://schemas.microsoft.com/office/drawing/2014/main" id="{00000000-0008-0000-0400-0000B9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8890" name="Straight Connector 8889">
          <a:extLst>
            <a:ext uri="{FF2B5EF4-FFF2-40B4-BE49-F238E27FC236}">
              <a16:creationId xmlns:a16="http://schemas.microsoft.com/office/drawing/2014/main" id="{00000000-0008-0000-0400-0000BA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8891" name="Straight Connector 8890">
          <a:extLst>
            <a:ext uri="{FF2B5EF4-FFF2-40B4-BE49-F238E27FC236}">
              <a16:creationId xmlns:a16="http://schemas.microsoft.com/office/drawing/2014/main" id="{00000000-0008-0000-0400-0000BB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8892" name="Straight Connector 8891">
          <a:extLst>
            <a:ext uri="{FF2B5EF4-FFF2-40B4-BE49-F238E27FC236}">
              <a16:creationId xmlns:a16="http://schemas.microsoft.com/office/drawing/2014/main" id="{00000000-0008-0000-0400-0000BC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8893" name="Straight Connector 8892">
          <a:extLst>
            <a:ext uri="{FF2B5EF4-FFF2-40B4-BE49-F238E27FC236}">
              <a16:creationId xmlns:a16="http://schemas.microsoft.com/office/drawing/2014/main" id="{00000000-0008-0000-0400-0000BD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8894" name="Straight Connector 8893">
          <a:extLst>
            <a:ext uri="{FF2B5EF4-FFF2-40B4-BE49-F238E27FC236}">
              <a16:creationId xmlns:a16="http://schemas.microsoft.com/office/drawing/2014/main" id="{00000000-0008-0000-0400-0000BE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8895" name="Straight Connector 8894">
          <a:extLst>
            <a:ext uri="{FF2B5EF4-FFF2-40B4-BE49-F238E27FC236}">
              <a16:creationId xmlns:a16="http://schemas.microsoft.com/office/drawing/2014/main" id="{00000000-0008-0000-0400-0000BF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8896" name="Straight Connector 8895">
          <a:extLst>
            <a:ext uri="{FF2B5EF4-FFF2-40B4-BE49-F238E27FC236}">
              <a16:creationId xmlns:a16="http://schemas.microsoft.com/office/drawing/2014/main" id="{00000000-0008-0000-0400-0000C0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8897" name="Straight Connector 8896">
          <a:extLst>
            <a:ext uri="{FF2B5EF4-FFF2-40B4-BE49-F238E27FC236}">
              <a16:creationId xmlns:a16="http://schemas.microsoft.com/office/drawing/2014/main" id="{00000000-0008-0000-0400-0000C1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8898" name="Straight Connector 8897">
          <a:extLst>
            <a:ext uri="{FF2B5EF4-FFF2-40B4-BE49-F238E27FC236}">
              <a16:creationId xmlns:a16="http://schemas.microsoft.com/office/drawing/2014/main" id="{00000000-0008-0000-0400-0000C2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8899" name="Straight Connector 8898">
          <a:extLst>
            <a:ext uri="{FF2B5EF4-FFF2-40B4-BE49-F238E27FC236}">
              <a16:creationId xmlns:a16="http://schemas.microsoft.com/office/drawing/2014/main" id="{00000000-0008-0000-0400-0000C3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8900" name="Straight Connector 8899">
          <a:extLst>
            <a:ext uri="{FF2B5EF4-FFF2-40B4-BE49-F238E27FC236}">
              <a16:creationId xmlns:a16="http://schemas.microsoft.com/office/drawing/2014/main" id="{00000000-0008-0000-0400-0000C4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8901" name="Straight Connector 8900">
          <a:extLst>
            <a:ext uri="{FF2B5EF4-FFF2-40B4-BE49-F238E27FC236}">
              <a16:creationId xmlns:a16="http://schemas.microsoft.com/office/drawing/2014/main" id="{00000000-0008-0000-0400-0000C5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8902" name="Straight Connector 8901">
          <a:extLst>
            <a:ext uri="{FF2B5EF4-FFF2-40B4-BE49-F238E27FC236}">
              <a16:creationId xmlns:a16="http://schemas.microsoft.com/office/drawing/2014/main" id="{00000000-0008-0000-0400-0000C6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8903" name="Straight Connector 8902">
          <a:extLst>
            <a:ext uri="{FF2B5EF4-FFF2-40B4-BE49-F238E27FC236}">
              <a16:creationId xmlns:a16="http://schemas.microsoft.com/office/drawing/2014/main" id="{00000000-0008-0000-0400-0000C7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8904" name="Straight Connector 8903">
          <a:extLst>
            <a:ext uri="{FF2B5EF4-FFF2-40B4-BE49-F238E27FC236}">
              <a16:creationId xmlns:a16="http://schemas.microsoft.com/office/drawing/2014/main" id="{00000000-0008-0000-0400-0000C8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8905" name="Straight Connector 8904">
          <a:extLst>
            <a:ext uri="{FF2B5EF4-FFF2-40B4-BE49-F238E27FC236}">
              <a16:creationId xmlns:a16="http://schemas.microsoft.com/office/drawing/2014/main" id="{00000000-0008-0000-0400-0000C9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8906" name="Straight Connector 8905">
          <a:extLst>
            <a:ext uri="{FF2B5EF4-FFF2-40B4-BE49-F238E27FC236}">
              <a16:creationId xmlns:a16="http://schemas.microsoft.com/office/drawing/2014/main" id="{00000000-0008-0000-0400-0000CA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907" name="Straight Connector 8906">
          <a:extLst>
            <a:ext uri="{FF2B5EF4-FFF2-40B4-BE49-F238E27FC236}">
              <a16:creationId xmlns:a16="http://schemas.microsoft.com/office/drawing/2014/main" id="{00000000-0008-0000-0400-0000CB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908" name="Straight Connector 8907">
          <a:extLst>
            <a:ext uri="{FF2B5EF4-FFF2-40B4-BE49-F238E27FC236}">
              <a16:creationId xmlns:a16="http://schemas.microsoft.com/office/drawing/2014/main" id="{00000000-0008-0000-0400-0000CC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909" name="Straight Connector 8908">
          <a:extLst>
            <a:ext uri="{FF2B5EF4-FFF2-40B4-BE49-F238E27FC236}">
              <a16:creationId xmlns:a16="http://schemas.microsoft.com/office/drawing/2014/main" id="{00000000-0008-0000-0400-0000CD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910" name="Straight Connector 8909">
          <a:extLst>
            <a:ext uri="{FF2B5EF4-FFF2-40B4-BE49-F238E27FC236}">
              <a16:creationId xmlns:a16="http://schemas.microsoft.com/office/drawing/2014/main" id="{00000000-0008-0000-0400-0000CE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911" name="Straight Connector 8910">
          <a:extLst>
            <a:ext uri="{FF2B5EF4-FFF2-40B4-BE49-F238E27FC236}">
              <a16:creationId xmlns:a16="http://schemas.microsoft.com/office/drawing/2014/main" id="{00000000-0008-0000-0400-0000CF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912" name="Straight Connector 8911">
          <a:extLst>
            <a:ext uri="{FF2B5EF4-FFF2-40B4-BE49-F238E27FC236}">
              <a16:creationId xmlns:a16="http://schemas.microsoft.com/office/drawing/2014/main" id="{00000000-0008-0000-0400-0000D0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913" name="Straight Connector 8912">
          <a:extLst>
            <a:ext uri="{FF2B5EF4-FFF2-40B4-BE49-F238E27FC236}">
              <a16:creationId xmlns:a16="http://schemas.microsoft.com/office/drawing/2014/main" id="{00000000-0008-0000-0400-0000D1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914" name="Straight Connector 8913">
          <a:extLst>
            <a:ext uri="{FF2B5EF4-FFF2-40B4-BE49-F238E27FC236}">
              <a16:creationId xmlns:a16="http://schemas.microsoft.com/office/drawing/2014/main" id="{00000000-0008-0000-0400-0000D2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915" name="Straight Connector 8914">
          <a:extLst>
            <a:ext uri="{FF2B5EF4-FFF2-40B4-BE49-F238E27FC236}">
              <a16:creationId xmlns:a16="http://schemas.microsoft.com/office/drawing/2014/main" id="{00000000-0008-0000-0400-0000D3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8916" name="Straight Connector 8915">
          <a:extLst>
            <a:ext uri="{FF2B5EF4-FFF2-40B4-BE49-F238E27FC236}">
              <a16:creationId xmlns:a16="http://schemas.microsoft.com/office/drawing/2014/main" id="{00000000-0008-0000-0400-0000D4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917" name="Straight Connector 8916">
          <a:extLst>
            <a:ext uri="{FF2B5EF4-FFF2-40B4-BE49-F238E27FC236}">
              <a16:creationId xmlns:a16="http://schemas.microsoft.com/office/drawing/2014/main" id="{00000000-0008-0000-0400-0000D5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918" name="Straight Connector 8917">
          <a:extLst>
            <a:ext uri="{FF2B5EF4-FFF2-40B4-BE49-F238E27FC236}">
              <a16:creationId xmlns:a16="http://schemas.microsoft.com/office/drawing/2014/main" id="{00000000-0008-0000-0400-0000D6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919" name="Straight Connector 8918">
          <a:extLst>
            <a:ext uri="{FF2B5EF4-FFF2-40B4-BE49-F238E27FC236}">
              <a16:creationId xmlns:a16="http://schemas.microsoft.com/office/drawing/2014/main" id="{00000000-0008-0000-0400-0000D7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920" name="Straight Connector 8919">
          <a:extLst>
            <a:ext uri="{FF2B5EF4-FFF2-40B4-BE49-F238E27FC236}">
              <a16:creationId xmlns:a16="http://schemas.microsoft.com/office/drawing/2014/main" id="{00000000-0008-0000-0400-0000D8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921" name="Straight Connector 8920">
          <a:extLst>
            <a:ext uri="{FF2B5EF4-FFF2-40B4-BE49-F238E27FC236}">
              <a16:creationId xmlns:a16="http://schemas.microsoft.com/office/drawing/2014/main" id="{00000000-0008-0000-0400-0000D9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922" name="Straight Connector 8921">
          <a:extLst>
            <a:ext uri="{FF2B5EF4-FFF2-40B4-BE49-F238E27FC236}">
              <a16:creationId xmlns:a16="http://schemas.microsoft.com/office/drawing/2014/main" id="{00000000-0008-0000-0400-0000DA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923" name="Straight Connector 8922">
          <a:extLst>
            <a:ext uri="{FF2B5EF4-FFF2-40B4-BE49-F238E27FC236}">
              <a16:creationId xmlns:a16="http://schemas.microsoft.com/office/drawing/2014/main" id="{00000000-0008-0000-0400-0000DB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924" name="Straight Connector 8923">
          <a:extLst>
            <a:ext uri="{FF2B5EF4-FFF2-40B4-BE49-F238E27FC236}">
              <a16:creationId xmlns:a16="http://schemas.microsoft.com/office/drawing/2014/main" id="{00000000-0008-0000-0400-0000DC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925" name="Straight Connector 8924">
          <a:extLst>
            <a:ext uri="{FF2B5EF4-FFF2-40B4-BE49-F238E27FC236}">
              <a16:creationId xmlns:a16="http://schemas.microsoft.com/office/drawing/2014/main" id="{00000000-0008-0000-0400-0000DD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926" name="Straight Connector 8925">
          <a:extLst>
            <a:ext uri="{FF2B5EF4-FFF2-40B4-BE49-F238E27FC236}">
              <a16:creationId xmlns:a16="http://schemas.microsoft.com/office/drawing/2014/main" id="{00000000-0008-0000-0400-0000DE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927" name="Straight Connector 8926">
          <a:extLst>
            <a:ext uri="{FF2B5EF4-FFF2-40B4-BE49-F238E27FC236}">
              <a16:creationId xmlns:a16="http://schemas.microsoft.com/office/drawing/2014/main" id="{00000000-0008-0000-0400-0000DF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928" name="Straight Connector 8927">
          <a:extLst>
            <a:ext uri="{FF2B5EF4-FFF2-40B4-BE49-F238E27FC236}">
              <a16:creationId xmlns:a16="http://schemas.microsoft.com/office/drawing/2014/main" id="{00000000-0008-0000-0400-0000E0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929" name="Straight Connector 8928">
          <a:extLst>
            <a:ext uri="{FF2B5EF4-FFF2-40B4-BE49-F238E27FC236}">
              <a16:creationId xmlns:a16="http://schemas.microsoft.com/office/drawing/2014/main" id="{00000000-0008-0000-0400-0000E1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930" name="Straight Connector 8929">
          <a:extLst>
            <a:ext uri="{FF2B5EF4-FFF2-40B4-BE49-F238E27FC236}">
              <a16:creationId xmlns:a16="http://schemas.microsoft.com/office/drawing/2014/main" id="{00000000-0008-0000-0400-0000E2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931" name="Straight Connector 8930">
          <a:extLst>
            <a:ext uri="{FF2B5EF4-FFF2-40B4-BE49-F238E27FC236}">
              <a16:creationId xmlns:a16="http://schemas.microsoft.com/office/drawing/2014/main" id="{00000000-0008-0000-0400-0000E3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932" name="Straight Connector 8931">
          <a:extLst>
            <a:ext uri="{FF2B5EF4-FFF2-40B4-BE49-F238E27FC236}">
              <a16:creationId xmlns:a16="http://schemas.microsoft.com/office/drawing/2014/main" id="{00000000-0008-0000-0400-0000E4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933" name="Straight Connector 8932">
          <a:extLst>
            <a:ext uri="{FF2B5EF4-FFF2-40B4-BE49-F238E27FC236}">
              <a16:creationId xmlns:a16="http://schemas.microsoft.com/office/drawing/2014/main" id="{00000000-0008-0000-0400-0000E5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934" name="Straight Connector 8933">
          <a:extLst>
            <a:ext uri="{FF2B5EF4-FFF2-40B4-BE49-F238E27FC236}">
              <a16:creationId xmlns:a16="http://schemas.microsoft.com/office/drawing/2014/main" id="{00000000-0008-0000-0400-0000E6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935" name="Straight Connector 8934">
          <a:extLst>
            <a:ext uri="{FF2B5EF4-FFF2-40B4-BE49-F238E27FC236}">
              <a16:creationId xmlns:a16="http://schemas.microsoft.com/office/drawing/2014/main" id="{00000000-0008-0000-0400-0000E7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936" name="Straight Connector 8935">
          <a:extLst>
            <a:ext uri="{FF2B5EF4-FFF2-40B4-BE49-F238E27FC236}">
              <a16:creationId xmlns:a16="http://schemas.microsoft.com/office/drawing/2014/main" id="{00000000-0008-0000-0400-0000E8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937" name="Straight Connector 8936">
          <a:extLst>
            <a:ext uri="{FF2B5EF4-FFF2-40B4-BE49-F238E27FC236}">
              <a16:creationId xmlns:a16="http://schemas.microsoft.com/office/drawing/2014/main" id="{00000000-0008-0000-0400-0000E9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938" name="Straight Connector 8937">
          <a:extLst>
            <a:ext uri="{FF2B5EF4-FFF2-40B4-BE49-F238E27FC236}">
              <a16:creationId xmlns:a16="http://schemas.microsoft.com/office/drawing/2014/main" id="{00000000-0008-0000-0400-0000EA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939" name="Straight Connector 8938">
          <a:extLst>
            <a:ext uri="{FF2B5EF4-FFF2-40B4-BE49-F238E27FC236}">
              <a16:creationId xmlns:a16="http://schemas.microsoft.com/office/drawing/2014/main" id="{00000000-0008-0000-0400-0000EB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940" name="Straight Connector 8939">
          <a:extLst>
            <a:ext uri="{FF2B5EF4-FFF2-40B4-BE49-F238E27FC236}">
              <a16:creationId xmlns:a16="http://schemas.microsoft.com/office/drawing/2014/main" id="{00000000-0008-0000-0400-0000EC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941" name="Straight Connector 8940">
          <a:extLst>
            <a:ext uri="{FF2B5EF4-FFF2-40B4-BE49-F238E27FC236}">
              <a16:creationId xmlns:a16="http://schemas.microsoft.com/office/drawing/2014/main" id="{00000000-0008-0000-0400-0000ED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942" name="Straight Connector 8941">
          <a:extLst>
            <a:ext uri="{FF2B5EF4-FFF2-40B4-BE49-F238E27FC236}">
              <a16:creationId xmlns:a16="http://schemas.microsoft.com/office/drawing/2014/main" id="{00000000-0008-0000-0400-0000EE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943" name="Straight Connector 8942">
          <a:extLst>
            <a:ext uri="{FF2B5EF4-FFF2-40B4-BE49-F238E27FC236}">
              <a16:creationId xmlns:a16="http://schemas.microsoft.com/office/drawing/2014/main" id="{00000000-0008-0000-0400-0000EF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944" name="Straight Connector 8943">
          <a:extLst>
            <a:ext uri="{FF2B5EF4-FFF2-40B4-BE49-F238E27FC236}">
              <a16:creationId xmlns:a16="http://schemas.microsoft.com/office/drawing/2014/main" id="{00000000-0008-0000-0400-0000F0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945" name="Straight Connector 8944">
          <a:extLst>
            <a:ext uri="{FF2B5EF4-FFF2-40B4-BE49-F238E27FC236}">
              <a16:creationId xmlns:a16="http://schemas.microsoft.com/office/drawing/2014/main" id="{00000000-0008-0000-0400-0000F1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8946" name="Straight Connector 8945">
          <a:extLst>
            <a:ext uri="{FF2B5EF4-FFF2-40B4-BE49-F238E27FC236}">
              <a16:creationId xmlns:a16="http://schemas.microsoft.com/office/drawing/2014/main" id="{00000000-0008-0000-0400-0000F2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8947" name="Straight Connector 8946">
          <a:extLst>
            <a:ext uri="{FF2B5EF4-FFF2-40B4-BE49-F238E27FC236}">
              <a16:creationId xmlns:a16="http://schemas.microsoft.com/office/drawing/2014/main" id="{00000000-0008-0000-0400-0000F3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8948" name="Straight Connector 8947">
          <a:extLst>
            <a:ext uri="{FF2B5EF4-FFF2-40B4-BE49-F238E27FC236}">
              <a16:creationId xmlns:a16="http://schemas.microsoft.com/office/drawing/2014/main" id="{00000000-0008-0000-0400-0000F4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8949" name="Straight Connector 8948">
          <a:extLst>
            <a:ext uri="{FF2B5EF4-FFF2-40B4-BE49-F238E27FC236}">
              <a16:creationId xmlns:a16="http://schemas.microsoft.com/office/drawing/2014/main" id="{00000000-0008-0000-0400-0000F5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8950" name="Straight Connector 8949">
          <a:extLst>
            <a:ext uri="{FF2B5EF4-FFF2-40B4-BE49-F238E27FC236}">
              <a16:creationId xmlns:a16="http://schemas.microsoft.com/office/drawing/2014/main" id="{00000000-0008-0000-0400-0000F6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8951" name="Straight Connector 8950">
          <a:extLst>
            <a:ext uri="{FF2B5EF4-FFF2-40B4-BE49-F238E27FC236}">
              <a16:creationId xmlns:a16="http://schemas.microsoft.com/office/drawing/2014/main" id="{00000000-0008-0000-0400-0000F7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8952" name="Straight Connector 8951">
          <a:extLst>
            <a:ext uri="{FF2B5EF4-FFF2-40B4-BE49-F238E27FC236}">
              <a16:creationId xmlns:a16="http://schemas.microsoft.com/office/drawing/2014/main" id="{00000000-0008-0000-0400-0000F8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8953" name="Straight Connector 8952">
          <a:extLst>
            <a:ext uri="{FF2B5EF4-FFF2-40B4-BE49-F238E27FC236}">
              <a16:creationId xmlns:a16="http://schemas.microsoft.com/office/drawing/2014/main" id="{00000000-0008-0000-0400-0000F9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8954" name="Straight Connector 8953">
          <a:extLst>
            <a:ext uri="{FF2B5EF4-FFF2-40B4-BE49-F238E27FC236}">
              <a16:creationId xmlns:a16="http://schemas.microsoft.com/office/drawing/2014/main" id="{00000000-0008-0000-0400-0000FA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8955" name="Straight Connector 8954">
          <a:extLst>
            <a:ext uri="{FF2B5EF4-FFF2-40B4-BE49-F238E27FC236}">
              <a16:creationId xmlns:a16="http://schemas.microsoft.com/office/drawing/2014/main" id="{00000000-0008-0000-0400-0000FB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8956" name="Straight Connector 8955">
          <a:extLst>
            <a:ext uri="{FF2B5EF4-FFF2-40B4-BE49-F238E27FC236}">
              <a16:creationId xmlns:a16="http://schemas.microsoft.com/office/drawing/2014/main" id="{00000000-0008-0000-0400-0000FC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8957" name="Straight Connector 8956">
          <a:extLst>
            <a:ext uri="{FF2B5EF4-FFF2-40B4-BE49-F238E27FC236}">
              <a16:creationId xmlns:a16="http://schemas.microsoft.com/office/drawing/2014/main" id="{00000000-0008-0000-0400-0000FD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8958" name="Straight Connector 8957">
          <a:extLst>
            <a:ext uri="{FF2B5EF4-FFF2-40B4-BE49-F238E27FC236}">
              <a16:creationId xmlns:a16="http://schemas.microsoft.com/office/drawing/2014/main" id="{00000000-0008-0000-0400-0000FE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8959" name="Straight Connector 8958">
          <a:extLst>
            <a:ext uri="{FF2B5EF4-FFF2-40B4-BE49-F238E27FC236}">
              <a16:creationId xmlns:a16="http://schemas.microsoft.com/office/drawing/2014/main" id="{00000000-0008-0000-0400-0000FF2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8960" name="Straight Connector 8959">
          <a:extLst>
            <a:ext uri="{FF2B5EF4-FFF2-40B4-BE49-F238E27FC236}">
              <a16:creationId xmlns:a16="http://schemas.microsoft.com/office/drawing/2014/main" id="{00000000-0008-0000-0400-000000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8961" name="Straight Connector 8960">
          <a:extLst>
            <a:ext uri="{FF2B5EF4-FFF2-40B4-BE49-F238E27FC236}">
              <a16:creationId xmlns:a16="http://schemas.microsoft.com/office/drawing/2014/main" id="{00000000-0008-0000-0400-000001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8962" name="Straight Connector 8961">
          <a:extLst>
            <a:ext uri="{FF2B5EF4-FFF2-40B4-BE49-F238E27FC236}">
              <a16:creationId xmlns:a16="http://schemas.microsoft.com/office/drawing/2014/main" id="{00000000-0008-0000-0400-000002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8963" name="Straight Connector 8962">
          <a:extLst>
            <a:ext uri="{FF2B5EF4-FFF2-40B4-BE49-F238E27FC236}">
              <a16:creationId xmlns:a16="http://schemas.microsoft.com/office/drawing/2014/main" id="{00000000-0008-0000-0400-000003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8964" name="Straight Connector 8963">
          <a:extLst>
            <a:ext uri="{FF2B5EF4-FFF2-40B4-BE49-F238E27FC236}">
              <a16:creationId xmlns:a16="http://schemas.microsoft.com/office/drawing/2014/main" id="{00000000-0008-0000-0400-000004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8965" name="Straight Connector 8964">
          <a:extLst>
            <a:ext uri="{FF2B5EF4-FFF2-40B4-BE49-F238E27FC236}">
              <a16:creationId xmlns:a16="http://schemas.microsoft.com/office/drawing/2014/main" id="{00000000-0008-0000-0400-000005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8966" name="Straight Connector 8965">
          <a:extLst>
            <a:ext uri="{FF2B5EF4-FFF2-40B4-BE49-F238E27FC236}">
              <a16:creationId xmlns:a16="http://schemas.microsoft.com/office/drawing/2014/main" id="{00000000-0008-0000-0400-000006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967" name="Straight Connector 8966">
          <a:extLst>
            <a:ext uri="{FF2B5EF4-FFF2-40B4-BE49-F238E27FC236}">
              <a16:creationId xmlns:a16="http://schemas.microsoft.com/office/drawing/2014/main" id="{00000000-0008-0000-0400-000007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968" name="Straight Connector 8967">
          <a:extLst>
            <a:ext uri="{FF2B5EF4-FFF2-40B4-BE49-F238E27FC236}">
              <a16:creationId xmlns:a16="http://schemas.microsoft.com/office/drawing/2014/main" id="{00000000-0008-0000-0400-000008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969" name="Straight Connector 8968">
          <a:extLst>
            <a:ext uri="{FF2B5EF4-FFF2-40B4-BE49-F238E27FC236}">
              <a16:creationId xmlns:a16="http://schemas.microsoft.com/office/drawing/2014/main" id="{00000000-0008-0000-0400-000009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970" name="Straight Connector 8969">
          <a:extLst>
            <a:ext uri="{FF2B5EF4-FFF2-40B4-BE49-F238E27FC236}">
              <a16:creationId xmlns:a16="http://schemas.microsoft.com/office/drawing/2014/main" id="{00000000-0008-0000-0400-00000A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971" name="Straight Connector 8970">
          <a:extLst>
            <a:ext uri="{FF2B5EF4-FFF2-40B4-BE49-F238E27FC236}">
              <a16:creationId xmlns:a16="http://schemas.microsoft.com/office/drawing/2014/main" id="{00000000-0008-0000-0400-00000B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972" name="Straight Connector 8971">
          <a:extLst>
            <a:ext uri="{FF2B5EF4-FFF2-40B4-BE49-F238E27FC236}">
              <a16:creationId xmlns:a16="http://schemas.microsoft.com/office/drawing/2014/main" id="{00000000-0008-0000-0400-00000C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973" name="Straight Connector 8972">
          <a:extLst>
            <a:ext uri="{FF2B5EF4-FFF2-40B4-BE49-F238E27FC236}">
              <a16:creationId xmlns:a16="http://schemas.microsoft.com/office/drawing/2014/main" id="{00000000-0008-0000-0400-00000D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974" name="Straight Connector 8973">
          <a:extLst>
            <a:ext uri="{FF2B5EF4-FFF2-40B4-BE49-F238E27FC236}">
              <a16:creationId xmlns:a16="http://schemas.microsoft.com/office/drawing/2014/main" id="{00000000-0008-0000-0400-00000E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975" name="Straight Connector 8974">
          <a:extLst>
            <a:ext uri="{FF2B5EF4-FFF2-40B4-BE49-F238E27FC236}">
              <a16:creationId xmlns:a16="http://schemas.microsoft.com/office/drawing/2014/main" id="{00000000-0008-0000-0400-00000F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8976" name="Straight Connector 8975">
          <a:extLst>
            <a:ext uri="{FF2B5EF4-FFF2-40B4-BE49-F238E27FC236}">
              <a16:creationId xmlns:a16="http://schemas.microsoft.com/office/drawing/2014/main" id="{00000000-0008-0000-0400-000010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8977" name="Straight Connector 8976">
          <a:extLst>
            <a:ext uri="{FF2B5EF4-FFF2-40B4-BE49-F238E27FC236}">
              <a16:creationId xmlns:a16="http://schemas.microsoft.com/office/drawing/2014/main" id="{00000000-0008-0000-0400-000011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8978" name="Straight Connector 8977">
          <a:extLst>
            <a:ext uri="{FF2B5EF4-FFF2-40B4-BE49-F238E27FC236}">
              <a16:creationId xmlns:a16="http://schemas.microsoft.com/office/drawing/2014/main" id="{00000000-0008-0000-0400-000012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8979" name="Straight Connector 8978">
          <a:extLst>
            <a:ext uri="{FF2B5EF4-FFF2-40B4-BE49-F238E27FC236}">
              <a16:creationId xmlns:a16="http://schemas.microsoft.com/office/drawing/2014/main" id="{00000000-0008-0000-0400-000013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8980" name="Straight Connector 8979">
          <a:extLst>
            <a:ext uri="{FF2B5EF4-FFF2-40B4-BE49-F238E27FC236}">
              <a16:creationId xmlns:a16="http://schemas.microsoft.com/office/drawing/2014/main" id="{00000000-0008-0000-0400-000014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8981" name="Straight Connector 8980">
          <a:extLst>
            <a:ext uri="{FF2B5EF4-FFF2-40B4-BE49-F238E27FC236}">
              <a16:creationId xmlns:a16="http://schemas.microsoft.com/office/drawing/2014/main" id="{00000000-0008-0000-0400-000015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8982" name="Straight Connector 8981">
          <a:extLst>
            <a:ext uri="{FF2B5EF4-FFF2-40B4-BE49-F238E27FC236}">
              <a16:creationId xmlns:a16="http://schemas.microsoft.com/office/drawing/2014/main" id="{00000000-0008-0000-0400-000016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8983" name="Straight Connector 8982">
          <a:extLst>
            <a:ext uri="{FF2B5EF4-FFF2-40B4-BE49-F238E27FC236}">
              <a16:creationId xmlns:a16="http://schemas.microsoft.com/office/drawing/2014/main" id="{00000000-0008-0000-0400-000017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8984" name="Straight Connector 8983">
          <a:extLst>
            <a:ext uri="{FF2B5EF4-FFF2-40B4-BE49-F238E27FC236}">
              <a16:creationId xmlns:a16="http://schemas.microsoft.com/office/drawing/2014/main" id="{00000000-0008-0000-0400-000018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8985" name="Straight Connector 8984">
          <a:extLst>
            <a:ext uri="{FF2B5EF4-FFF2-40B4-BE49-F238E27FC236}">
              <a16:creationId xmlns:a16="http://schemas.microsoft.com/office/drawing/2014/main" id="{00000000-0008-0000-0400-000019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8986" name="Straight Connector 8985">
          <a:extLst>
            <a:ext uri="{FF2B5EF4-FFF2-40B4-BE49-F238E27FC236}">
              <a16:creationId xmlns:a16="http://schemas.microsoft.com/office/drawing/2014/main" id="{00000000-0008-0000-0400-00001A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8987" name="Straight Connector 8986">
          <a:extLst>
            <a:ext uri="{FF2B5EF4-FFF2-40B4-BE49-F238E27FC236}">
              <a16:creationId xmlns:a16="http://schemas.microsoft.com/office/drawing/2014/main" id="{00000000-0008-0000-0400-00001B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8988" name="Straight Connector 8987">
          <a:extLst>
            <a:ext uri="{FF2B5EF4-FFF2-40B4-BE49-F238E27FC236}">
              <a16:creationId xmlns:a16="http://schemas.microsoft.com/office/drawing/2014/main" id="{00000000-0008-0000-0400-00001C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8989" name="Straight Connector 8988">
          <a:extLst>
            <a:ext uri="{FF2B5EF4-FFF2-40B4-BE49-F238E27FC236}">
              <a16:creationId xmlns:a16="http://schemas.microsoft.com/office/drawing/2014/main" id="{00000000-0008-0000-0400-00001D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8990" name="Straight Connector 8989">
          <a:extLst>
            <a:ext uri="{FF2B5EF4-FFF2-40B4-BE49-F238E27FC236}">
              <a16:creationId xmlns:a16="http://schemas.microsoft.com/office/drawing/2014/main" id="{00000000-0008-0000-0400-00001E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8991" name="Straight Connector 8990">
          <a:extLst>
            <a:ext uri="{FF2B5EF4-FFF2-40B4-BE49-F238E27FC236}">
              <a16:creationId xmlns:a16="http://schemas.microsoft.com/office/drawing/2014/main" id="{00000000-0008-0000-0400-00001F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8992" name="Straight Connector 8991">
          <a:extLst>
            <a:ext uri="{FF2B5EF4-FFF2-40B4-BE49-F238E27FC236}">
              <a16:creationId xmlns:a16="http://schemas.microsoft.com/office/drawing/2014/main" id="{00000000-0008-0000-0400-000020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8993" name="Straight Connector 8992">
          <a:extLst>
            <a:ext uri="{FF2B5EF4-FFF2-40B4-BE49-F238E27FC236}">
              <a16:creationId xmlns:a16="http://schemas.microsoft.com/office/drawing/2014/main" id="{00000000-0008-0000-0400-000021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8994" name="Straight Connector 8993">
          <a:extLst>
            <a:ext uri="{FF2B5EF4-FFF2-40B4-BE49-F238E27FC236}">
              <a16:creationId xmlns:a16="http://schemas.microsoft.com/office/drawing/2014/main" id="{00000000-0008-0000-0400-000022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8995" name="Straight Connector 8994">
          <a:extLst>
            <a:ext uri="{FF2B5EF4-FFF2-40B4-BE49-F238E27FC236}">
              <a16:creationId xmlns:a16="http://schemas.microsoft.com/office/drawing/2014/main" id="{00000000-0008-0000-0400-000023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8996" name="Straight Connector 8995">
          <a:extLst>
            <a:ext uri="{FF2B5EF4-FFF2-40B4-BE49-F238E27FC236}">
              <a16:creationId xmlns:a16="http://schemas.microsoft.com/office/drawing/2014/main" id="{00000000-0008-0000-0400-000024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8997" name="Straight Connector 8996">
          <a:extLst>
            <a:ext uri="{FF2B5EF4-FFF2-40B4-BE49-F238E27FC236}">
              <a16:creationId xmlns:a16="http://schemas.microsoft.com/office/drawing/2014/main" id="{00000000-0008-0000-0400-000025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8998" name="Straight Connector 8997">
          <a:extLst>
            <a:ext uri="{FF2B5EF4-FFF2-40B4-BE49-F238E27FC236}">
              <a16:creationId xmlns:a16="http://schemas.microsoft.com/office/drawing/2014/main" id="{00000000-0008-0000-0400-000026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8999" name="Straight Connector 8998">
          <a:extLst>
            <a:ext uri="{FF2B5EF4-FFF2-40B4-BE49-F238E27FC236}">
              <a16:creationId xmlns:a16="http://schemas.microsoft.com/office/drawing/2014/main" id="{00000000-0008-0000-0400-000027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9000" name="Straight Connector 8999">
          <a:extLst>
            <a:ext uri="{FF2B5EF4-FFF2-40B4-BE49-F238E27FC236}">
              <a16:creationId xmlns:a16="http://schemas.microsoft.com/office/drawing/2014/main" id="{00000000-0008-0000-0400-000028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9001" name="Straight Connector 9000">
          <a:extLst>
            <a:ext uri="{FF2B5EF4-FFF2-40B4-BE49-F238E27FC236}">
              <a16:creationId xmlns:a16="http://schemas.microsoft.com/office/drawing/2014/main" id="{00000000-0008-0000-0400-000029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9002" name="Straight Connector 9001">
          <a:extLst>
            <a:ext uri="{FF2B5EF4-FFF2-40B4-BE49-F238E27FC236}">
              <a16:creationId xmlns:a16="http://schemas.microsoft.com/office/drawing/2014/main" id="{00000000-0008-0000-0400-00002A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9003" name="Straight Connector 9002">
          <a:extLst>
            <a:ext uri="{FF2B5EF4-FFF2-40B4-BE49-F238E27FC236}">
              <a16:creationId xmlns:a16="http://schemas.microsoft.com/office/drawing/2014/main" id="{00000000-0008-0000-0400-00002B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9004" name="Straight Connector 9003">
          <a:extLst>
            <a:ext uri="{FF2B5EF4-FFF2-40B4-BE49-F238E27FC236}">
              <a16:creationId xmlns:a16="http://schemas.microsoft.com/office/drawing/2014/main" id="{00000000-0008-0000-0400-00002C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9005" name="Straight Connector 9004">
          <a:extLst>
            <a:ext uri="{FF2B5EF4-FFF2-40B4-BE49-F238E27FC236}">
              <a16:creationId xmlns:a16="http://schemas.microsoft.com/office/drawing/2014/main" id="{00000000-0008-0000-0400-00002D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9006" name="Straight Connector 9005">
          <a:extLst>
            <a:ext uri="{FF2B5EF4-FFF2-40B4-BE49-F238E27FC236}">
              <a16:creationId xmlns:a16="http://schemas.microsoft.com/office/drawing/2014/main" id="{00000000-0008-0000-0400-00002E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9007" name="Straight Connector 9006">
          <a:extLst>
            <a:ext uri="{FF2B5EF4-FFF2-40B4-BE49-F238E27FC236}">
              <a16:creationId xmlns:a16="http://schemas.microsoft.com/office/drawing/2014/main" id="{00000000-0008-0000-0400-00002F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9008" name="Straight Connector 9007">
          <a:extLst>
            <a:ext uri="{FF2B5EF4-FFF2-40B4-BE49-F238E27FC236}">
              <a16:creationId xmlns:a16="http://schemas.microsoft.com/office/drawing/2014/main" id="{00000000-0008-0000-0400-000030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9009" name="Straight Connector 9008">
          <a:extLst>
            <a:ext uri="{FF2B5EF4-FFF2-40B4-BE49-F238E27FC236}">
              <a16:creationId xmlns:a16="http://schemas.microsoft.com/office/drawing/2014/main" id="{00000000-0008-0000-0400-000031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9010" name="Straight Connector 9009">
          <a:extLst>
            <a:ext uri="{FF2B5EF4-FFF2-40B4-BE49-F238E27FC236}">
              <a16:creationId xmlns:a16="http://schemas.microsoft.com/office/drawing/2014/main" id="{00000000-0008-0000-0400-000032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9011" name="Straight Connector 9010">
          <a:extLst>
            <a:ext uri="{FF2B5EF4-FFF2-40B4-BE49-F238E27FC236}">
              <a16:creationId xmlns:a16="http://schemas.microsoft.com/office/drawing/2014/main" id="{00000000-0008-0000-0400-000033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9012" name="Straight Connector 9011">
          <a:extLst>
            <a:ext uri="{FF2B5EF4-FFF2-40B4-BE49-F238E27FC236}">
              <a16:creationId xmlns:a16="http://schemas.microsoft.com/office/drawing/2014/main" id="{00000000-0008-0000-0400-000034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9013" name="Straight Connector 9012">
          <a:extLst>
            <a:ext uri="{FF2B5EF4-FFF2-40B4-BE49-F238E27FC236}">
              <a16:creationId xmlns:a16="http://schemas.microsoft.com/office/drawing/2014/main" id="{00000000-0008-0000-0400-000035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9014" name="Straight Connector 9013">
          <a:extLst>
            <a:ext uri="{FF2B5EF4-FFF2-40B4-BE49-F238E27FC236}">
              <a16:creationId xmlns:a16="http://schemas.microsoft.com/office/drawing/2014/main" id="{00000000-0008-0000-0400-000036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9015" name="Straight Connector 9014">
          <a:extLst>
            <a:ext uri="{FF2B5EF4-FFF2-40B4-BE49-F238E27FC236}">
              <a16:creationId xmlns:a16="http://schemas.microsoft.com/office/drawing/2014/main" id="{00000000-0008-0000-0400-000037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9016" name="Straight Connector 9015">
          <a:extLst>
            <a:ext uri="{FF2B5EF4-FFF2-40B4-BE49-F238E27FC236}">
              <a16:creationId xmlns:a16="http://schemas.microsoft.com/office/drawing/2014/main" id="{00000000-0008-0000-0400-000038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9017" name="Straight Connector 9016">
          <a:extLst>
            <a:ext uri="{FF2B5EF4-FFF2-40B4-BE49-F238E27FC236}">
              <a16:creationId xmlns:a16="http://schemas.microsoft.com/office/drawing/2014/main" id="{00000000-0008-0000-0400-000039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9018" name="Straight Connector 9017">
          <a:extLst>
            <a:ext uri="{FF2B5EF4-FFF2-40B4-BE49-F238E27FC236}">
              <a16:creationId xmlns:a16="http://schemas.microsoft.com/office/drawing/2014/main" id="{00000000-0008-0000-0400-00003A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9019" name="Straight Connector 9018">
          <a:extLst>
            <a:ext uri="{FF2B5EF4-FFF2-40B4-BE49-F238E27FC236}">
              <a16:creationId xmlns:a16="http://schemas.microsoft.com/office/drawing/2014/main" id="{00000000-0008-0000-0400-00003B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9020" name="Straight Connector 9019">
          <a:extLst>
            <a:ext uri="{FF2B5EF4-FFF2-40B4-BE49-F238E27FC236}">
              <a16:creationId xmlns:a16="http://schemas.microsoft.com/office/drawing/2014/main" id="{00000000-0008-0000-0400-00003C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9021" name="Straight Connector 9020">
          <a:extLst>
            <a:ext uri="{FF2B5EF4-FFF2-40B4-BE49-F238E27FC236}">
              <a16:creationId xmlns:a16="http://schemas.microsoft.com/office/drawing/2014/main" id="{00000000-0008-0000-0400-00003D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9022" name="Straight Connector 9021">
          <a:extLst>
            <a:ext uri="{FF2B5EF4-FFF2-40B4-BE49-F238E27FC236}">
              <a16:creationId xmlns:a16="http://schemas.microsoft.com/office/drawing/2014/main" id="{00000000-0008-0000-0400-00003E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9023" name="Straight Connector 9022">
          <a:extLst>
            <a:ext uri="{FF2B5EF4-FFF2-40B4-BE49-F238E27FC236}">
              <a16:creationId xmlns:a16="http://schemas.microsoft.com/office/drawing/2014/main" id="{00000000-0008-0000-0400-00003F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9024" name="Straight Connector 9023">
          <a:extLst>
            <a:ext uri="{FF2B5EF4-FFF2-40B4-BE49-F238E27FC236}">
              <a16:creationId xmlns:a16="http://schemas.microsoft.com/office/drawing/2014/main" id="{00000000-0008-0000-0400-000040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9025" name="Straight Connector 9024">
          <a:extLst>
            <a:ext uri="{FF2B5EF4-FFF2-40B4-BE49-F238E27FC236}">
              <a16:creationId xmlns:a16="http://schemas.microsoft.com/office/drawing/2014/main" id="{00000000-0008-0000-0400-000041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9026" name="Straight Connector 9025">
          <a:extLst>
            <a:ext uri="{FF2B5EF4-FFF2-40B4-BE49-F238E27FC236}">
              <a16:creationId xmlns:a16="http://schemas.microsoft.com/office/drawing/2014/main" id="{00000000-0008-0000-0400-000042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9027" name="Straight Connector 9026">
          <a:extLst>
            <a:ext uri="{FF2B5EF4-FFF2-40B4-BE49-F238E27FC236}">
              <a16:creationId xmlns:a16="http://schemas.microsoft.com/office/drawing/2014/main" id="{00000000-0008-0000-0400-000043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9028" name="Straight Connector 9027">
          <a:extLst>
            <a:ext uri="{FF2B5EF4-FFF2-40B4-BE49-F238E27FC236}">
              <a16:creationId xmlns:a16="http://schemas.microsoft.com/office/drawing/2014/main" id="{00000000-0008-0000-0400-000044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9029" name="Straight Connector 9028">
          <a:extLst>
            <a:ext uri="{FF2B5EF4-FFF2-40B4-BE49-F238E27FC236}">
              <a16:creationId xmlns:a16="http://schemas.microsoft.com/office/drawing/2014/main" id="{00000000-0008-0000-0400-000045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9030" name="Straight Connector 9029">
          <a:extLst>
            <a:ext uri="{FF2B5EF4-FFF2-40B4-BE49-F238E27FC236}">
              <a16:creationId xmlns:a16="http://schemas.microsoft.com/office/drawing/2014/main" id="{00000000-0008-0000-0400-000046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9031" name="Straight Connector 9030">
          <a:extLst>
            <a:ext uri="{FF2B5EF4-FFF2-40B4-BE49-F238E27FC236}">
              <a16:creationId xmlns:a16="http://schemas.microsoft.com/office/drawing/2014/main" id="{00000000-0008-0000-0400-000047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9032" name="Straight Connector 9031">
          <a:extLst>
            <a:ext uri="{FF2B5EF4-FFF2-40B4-BE49-F238E27FC236}">
              <a16:creationId xmlns:a16="http://schemas.microsoft.com/office/drawing/2014/main" id="{00000000-0008-0000-0400-000048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9033" name="Straight Connector 9032">
          <a:extLst>
            <a:ext uri="{FF2B5EF4-FFF2-40B4-BE49-F238E27FC236}">
              <a16:creationId xmlns:a16="http://schemas.microsoft.com/office/drawing/2014/main" id="{00000000-0008-0000-0400-000049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9034" name="Straight Connector 9033">
          <a:extLst>
            <a:ext uri="{FF2B5EF4-FFF2-40B4-BE49-F238E27FC236}">
              <a16:creationId xmlns:a16="http://schemas.microsoft.com/office/drawing/2014/main" id="{00000000-0008-0000-0400-00004A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9035" name="Straight Connector 9034">
          <a:extLst>
            <a:ext uri="{FF2B5EF4-FFF2-40B4-BE49-F238E27FC236}">
              <a16:creationId xmlns:a16="http://schemas.microsoft.com/office/drawing/2014/main" id="{00000000-0008-0000-0400-00004B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9036" name="Straight Connector 9035">
          <a:extLst>
            <a:ext uri="{FF2B5EF4-FFF2-40B4-BE49-F238E27FC236}">
              <a16:creationId xmlns:a16="http://schemas.microsoft.com/office/drawing/2014/main" id="{00000000-0008-0000-0400-00004C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9037" name="Straight Connector 9036">
          <a:extLst>
            <a:ext uri="{FF2B5EF4-FFF2-40B4-BE49-F238E27FC236}">
              <a16:creationId xmlns:a16="http://schemas.microsoft.com/office/drawing/2014/main" id="{00000000-0008-0000-0400-00004D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9038" name="Straight Connector 9037">
          <a:extLst>
            <a:ext uri="{FF2B5EF4-FFF2-40B4-BE49-F238E27FC236}">
              <a16:creationId xmlns:a16="http://schemas.microsoft.com/office/drawing/2014/main" id="{00000000-0008-0000-0400-00004E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9039" name="Straight Connector 9038">
          <a:extLst>
            <a:ext uri="{FF2B5EF4-FFF2-40B4-BE49-F238E27FC236}">
              <a16:creationId xmlns:a16="http://schemas.microsoft.com/office/drawing/2014/main" id="{00000000-0008-0000-0400-00004F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9040" name="Straight Connector 9039">
          <a:extLst>
            <a:ext uri="{FF2B5EF4-FFF2-40B4-BE49-F238E27FC236}">
              <a16:creationId xmlns:a16="http://schemas.microsoft.com/office/drawing/2014/main" id="{00000000-0008-0000-0400-000050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9041" name="Straight Connector 9040">
          <a:extLst>
            <a:ext uri="{FF2B5EF4-FFF2-40B4-BE49-F238E27FC236}">
              <a16:creationId xmlns:a16="http://schemas.microsoft.com/office/drawing/2014/main" id="{00000000-0008-0000-0400-000051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9042" name="Straight Connector 9041">
          <a:extLst>
            <a:ext uri="{FF2B5EF4-FFF2-40B4-BE49-F238E27FC236}">
              <a16:creationId xmlns:a16="http://schemas.microsoft.com/office/drawing/2014/main" id="{00000000-0008-0000-0400-000052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9043" name="Straight Connector 9042">
          <a:extLst>
            <a:ext uri="{FF2B5EF4-FFF2-40B4-BE49-F238E27FC236}">
              <a16:creationId xmlns:a16="http://schemas.microsoft.com/office/drawing/2014/main" id="{00000000-0008-0000-0400-000053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9044" name="Straight Connector 9043">
          <a:extLst>
            <a:ext uri="{FF2B5EF4-FFF2-40B4-BE49-F238E27FC236}">
              <a16:creationId xmlns:a16="http://schemas.microsoft.com/office/drawing/2014/main" id="{00000000-0008-0000-0400-000054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9045" name="Straight Connector 9044">
          <a:extLst>
            <a:ext uri="{FF2B5EF4-FFF2-40B4-BE49-F238E27FC236}">
              <a16:creationId xmlns:a16="http://schemas.microsoft.com/office/drawing/2014/main" id="{00000000-0008-0000-0400-000055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9046" name="Straight Connector 9045">
          <a:extLst>
            <a:ext uri="{FF2B5EF4-FFF2-40B4-BE49-F238E27FC236}">
              <a16:creationId xmlns:a16="http://schemas.microsoft.com/office/drawing/2014/main" id="{00000000-0008-0000-0400-000056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9047" name="Straight Connector 9046">
          <a:extLst>
            <a:ext uri="{FF2B5EF4-FFF2-40B4-BE49-F238E27FC236}">
              <a16:creationId xmlns:a16="http://schemas.microsoft.com/office/drawing/2014/main" id="{00000000-0008-0000-0400-000057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9048" name="Straight Connector 9047">
          <a:extLst>
            <a:ext uri="{FF2B5EF4-FFF2-40B4-BE49-F238E27FC236}">
              <a16:creationId xmlns:a16="http://schemas.microsoft.com/office/drawing/2014/main" id="{00000000-0008-0000-0400-000058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9049" name="Straight Connector 9048">
          <a:extLst>
            <a:ext uri="{FF2B5EF4-FFF2-40B4-BE49-F238E27FC236}">
              <a16:creationId xmlns:a16="http://schemas.microsoft.com/office/drawing/2014/main" id="{00000000-0008-0000-0400-000059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9050" name="Straight Connector 9049">
          <a:extLst>
            <a:ext uri="{FF2B5EF4-FFF2-40B4-BE49-F238E27FC236}">
              <a16:creationId xmlns:a16="http://schemas.microsoft.com/office/drawing/2014/main" id="{00000000-0008-0000-0400-00005A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9051" name="Straight Connector 9050">
          <a:extLst>
            <a:ext uri="{FF2B5EF4-FFF2-40B4-BE49-F238E27FC236}">
              <a16:creationId xmlns:a16="http://schemas.microsoft.com/office/drawing/2014/main" id="{00000000-0008-0000-0400-00005B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9052" name="Straight Connector 9051">
          <a:extLst>
            <a:ext uri="{FF2B5EF4-FFF2-40B4-BE49-F238E27FC236}">
              <a16:creationId xmlns:a16="http://schemas.microsoft.com/office/drawing/2014/main" id="{00000000-0008-0000-0400-00005C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9053" name="Straight Connector 9052">
          <a:extLst>
            <a:ext uri="{FF2B5EF4-FFF2-40B4-BE49-F238E27FC236}">
              <a16:creationId xmlns:a16="http://schemas.microsoft.com/office/drawing/2014/main" id="{00000000-0008-0000-0400-00005D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9054" name="Straight Connector 9053">
          <a:extLst>
            <a:ext uri="{FF2B5EF4-FFF2-40B4-BE49-F238E27FC236}">
              <a16:creationId xmlns:a16="http://schemas.microsoft.com/office/drawing/2014/main" id="{00000000-0008-0000-0400-00005E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9055" name="Straight Connector 9054">
          <a:extLst>
            <a:ext uri="{FF2B5EF4-FFF2-40B4-BE49-F238E27FC236}">
              <a16:creationId xmlns:a16="http://schemas.microsoft.com/office/drawing/2014/main" id="{00000000-0008-0000-0400-00005F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9056" name="Straight Connector 9055">
          <a:extLst>
            <a:ext uri="{FF2B5EF4-FFF2-40B4-BE49-F238E27FC236}">
              <a16:creationId xmlns:a16="http://schemas.microsoft.com/office/drawing/2014/main" id="{00000000-0008-0000-0400-00006023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24</xdr:row>
      <xdr:rowOff>34925</xdr:rowOff>
    </xdr:from>
    <xdr:to>
      <xdr:col>8</xdr:col>
      <xdr:colOff>9525</xdr:colOff>
      <xdr:row>25</xdr:row>
      <xdr:rowOff>0</xdr:rowOff>
    </xdr:to>
    <xdr:cxnSp macro="">
      <xdr:nvCxnSpPr>
        <xdr:cNvPr id="9066" name="Straight Connector 9065">
          <a:extLst>
            <a:ext uri="{FF2B5EF4-FFF2-40B4-BE49-F238E27FC236}">
              <a16:creationId xmlns:a16="http://schemas.microsoft.com/office/drawing/2014/main" id="{00000000-0008-0000-0400-00006A230000}"/>
            </a:ext>
          </a:extLst>
        </xdr:cNvPr>
        <xdr:cNvCxnSpPr/>
      </xdr:nvCxnSpPr>
      <xdr:spPr bwMode="auto">
        <a:xfrm flipV="1">
          <a:off x="40100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26</xdr:row>
      <xdr:rowOff>34925</xdr:rowOff>
    </xdr:from>
    <xdr:to>
      <xdr:col>10</xdr:col>
      <xdr:colOff>9525</xdr:colOff>
      <xdr:row>27</xdr:row>
      <xdr:rowOff>0</xdr:rowOff>
    </xdr:to>
    <xdr:cxnSp macro="">
      <xdr:nvCxnSpPr>
        <xdr:cNvPr id="9067" name="Straight Connector 9066">
          <a:extLst>
            <a:ext uri="{FF2B5EF4-FFF2-40B4-BE49-F238E27FC236}">
              <a16:creationId xmlns:a16="http://schemas.microsoft.com/office/drawing/2014/main" id="{00000000-0008-0000-0400-00006B230000}"/>
            </a:ext>
          </a:extLst>
        </xdr:cNvPr>
        <xdr:cNvCxnSpPr/>
      </xdr:nvCxnSpPr>
      <xdr:spPr bwMode="auto">
        <a:xfrm flipV="1">
          <a:off x="40100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28</xdr:row>
      <xdr:rowOff>34925</xdr:rowOff>
    </xdr:from>
    <xdr:to>
      <xdr:col>12</xdr:col>
      <xdr:colOff>9525</xdr:colOff>
      <xdr:row>29</xdr:row>
      <xdr:rowOff>0</xdr:rowOff>
    </xdr:to>
    <xdr:cxnSp macro="">
      <xdr:nvCxnSpPr>
        <xdr:cNvPr id="9068" name="Straight Connector 9067">
          <a:extLst>
            <a:ext uri="{FF2B5EF4-FFF2-40B4-BE49-F238E27FC236}">
              <a16:creationId xmlns:a16="http://schemas.microsoft.com/office/drawing/2014/main" id="{00000000-0008-0000-0400-00006C230000}"/>
            </a:ext>
          </a:extLst>
        </xdr:cNvPr>
        <xdr:cNvCxnSpPr/>
      </xdr:nvCxnSpPr>
      <xdr:spPr bwMode="auto">
        <a:xfrm flipV="1">
          <a:off x="64484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30</xdr:row>
      <xdr:rowOff>34925</xdr:rowOff>
    </xdr:from>
    <xdr:to>
      <xdr:col>14</xdr:col>
      <xdr:colOff>9525</xdr:colOff>
      <xdr:row>31</xdr:row>
      <xdr:rowOff>0</xdr:rowOff>
    </xdr:to>
    <xdr:cxnSp macro="">
      <xdr:nvCxnSpPr>
        <xdr:cNvPr id="9069" name="Straight Connector 9068">
          <a:extLst>
            <a:ext uri="{FF2B5EF4-FFF2-40B4-BE49-F238E27FC236}">
              <a16:creationId xmlns:a16="http://schemas.microsoft.com/office/drawing/2014/main" id="{00000000-0008-0000-0400-00006D230000}"/>
            </a:ext>
          </a:extLst>
        </xdr:cNvPr>
        <xdr:cNvCxnSpPr/>
      </xdr:nvCxnSpPr>
      <xdr:spPr bwMode="auto">
        <a:xfrm flipV="1">
          <a:off x="64484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32</xdr:row>
      <xdr:rowOff>34925</xdr:rowOff>
    </xdr:from>
    <xdr:to>
      <xdr:col>16</xdr:col>
      <xdr:colOff>9525</xdr:colOff>
      <xdr:row>33</xdr:row>
      <xdr:rowOff>0</xdr:rowOff>
    </xdr:to>
    <xdr:cxnSp macro="">
      <xdr:nvCxnSpPr>
        <xdr:cNvPr id="9070" name="Straight Connector 9069">
          <a:extLst>
            <a:ext uri="{FF2B5EF4-FFF2-40B4-BE49-F238E27FC236}">
              <a16:creationId xmlns:a16="http://schemas.microsoft.com/office/drawing/2014/main" id="{00000000-0008-0000-0400-00006E230000}"/>
            </a:ext>
          </a:extLst>
        </xdr:cNvPr>
        <xdr:cNvCxnSpPr/>
      </xdr:nvCxnSpPr>
      <xdr:spPr bwMode="auto">
        <a:xfrm flipV="1">
          <a:off x="64484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34</xdr:row>
      <xdr:rowOff>34925</xdr:rowOff>
    </xdr:from>
    <xdr:to>
      <xdr:col>18</xdr:col>
      <xdr:colOff>9525</xdr:colOff>
      <xdr:row>35</xdr:row>
      <xdr:rowOff>0</xdr:rowOff>
    </xdr:to>
    <xdr:cxnSp macro="">
      <xdr:nvCxnSpPr>
        <xdr:cNvPr id="9071" name="Straight Connector 9070">
          <a:extLst>
            <a:ext uri="{FF2B5EF4-FFF2-40B4-BE49-F238E27FC236}">
              <a16:creationId xmlns:a16="http://schemas.microsoft.com/office/drawing/2014/main" id="{00000000-0008-0000-0400-00006F230000}"/>
            </a:ext>
          </a:extLst>
        </xdr:cNvPr>
        <xdr:cNvCxnSpPr/>
      </xdr:nvCxnSpPr>
      <xdr:spPr bwMode="auto">
        <a:xfrm flipV="1">
          <a:off x="64484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36</xdr:row>
      <xdr:rowOff>34925</xdr:rowOff>
    </xdr:from>
    <xdr:to>
      <xdr:col>20</xdr:col>
      <xdr:colOff>9525</xdr:colOff>
      <xdr:row>37</xdr:row>
      <xdr:rowOff>0</xdr:rowOff>
    </xdr:to>
    <xdr:cxnSp macro="">
      <xdr:nvCxnSpPr>
        <xdr:cNvPr id="9072" name="Straight Connector 9071">
          <a:extLst>
            <a:ext uri="{FF2B5EF4-FFF2-40B4-BE49-F238E27FC236}">
              <a16:creationId xmlns:a16="http://schemas.microsoft.com/office/drawing/2014/main" id="{00000000-0008-0000-0400-000070230000}"/>
            </a:ext>
          </a:extLst>
        </xdr:cNvPr>
        <xdr:cNvCxnSpPr/>
      </xdr:nvCxnSpPr>
      <xdr:spPr bwMode="auto">
        <a:xfrm flipV="1">
          <a:off x="64484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38</xdr:row>
      <xdr:rowOff>34925</xdr:rowOff>
    </xdr:from>
    <xdr:to>
      <xdr:col>22</xdr:col>
      <xdr:colOff>9525</xdr:colOff>
      <xdr:row>39</xdr:row>
      <xdr:rowOff>0</xdr:rowOff>
    </xdr:to>
    <xdr:cxnSp macro="">
      <xdr:nvCxnSpPr>
        <xdr:cNvPr id="9073" name="Straight Connector 9072">
          <a:extLst>
            <a:ext uri="{FF2B5EF4-FFF2-40B4-BE49-F238E27FC236}">
              <a16:creationId xmlns:a16="http://schemas.microsoft.com/office/drawing/2014/main" id="{00000000-0008-0000-0400-000071230000}"/>
            </a:ext>
          </a:extLst>
        </xdr:cNvPr>
        <xdr:cNvCxnSpPr/>
      </xdr:nvCxnSpPr>
      <xdr:spPr bwMode="auto">
        <a:xfrm flipV="1">
          <a:off x="64484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40</xdr:row>
      <xdr:rowOff>34925</xdr:rowOff>
    </xdr:from>
    <xdr:to>
      <xdr:col>24</xdr:col>
      <xdr:colOff>9525</xdr:colOff>
      <xdr:row>41</xdr:row>
      <xdr:rowOff>0</xdr:rowOff>
    </xdr:to>
    <xdr:cxnSp macro="">
      <xdr:nvCxnSpPr>
        <xdr:cNvPr id="9074" name="Straight Connector 9073">
          <a:extLst>
            <a:ext uri="{FF2B5EF4-FFF2-40B4-BE49-F238E27FC236}">
              <a16:creationId xmlns:a16="http://schemas.microsoft.com/office/drawing/2014/main" id="{00000000-0008-0000-0400-000072230000}"/>
            </a:ext>
          </a:extLst>
        </xdr:cNvPr>
        <xdr:cNvCxnSpPr/>
      </xdr:nvCxnSpPr>
      <xdr:spPr bwMode="auto">
        <a:xfrm flipV="1">
          <a:off x="64484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22</xdr:row>
      <xdr:rowOff>34925</xdr:rowOff>
    </xdr:from>
    <xdr:to>
      <xdr:col>6</xdr:col>
      <xdr:colOff>9525</xdr:colOff>
      <xdr:row>23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 bwMode="auto">
        <a:xfrm flipV="1">
          <a:off x="40100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 bwMode="auto">
        <a:xfrm>
          <a:off x="52292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21</xdr:row>
      <xdr:rowOff>11430</xdr:rowOff>
    </xdr:from>
    <xdr:to>
      <xdr:col>10</xdr:col>
      <xdr:colOff>9525</xdr:colOff>
      <xdr:row>21</xdr:row>
      <xdr:rowOff>138430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 bwMode="auto">
        <a:xfrm>
          <a:off x="6448425" y="34118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 bwMode="auto">
        <a:xfrm flipV="1">
          <a:off x="76676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23</xdr:row>
      <xdr:rowOff>11430</xdr:rowOff>
    </xdr:from>
    <xdr:to>
      <xdr:col>12</xdr:col>
      <xdr:colOff>9525</xdr:colOff>
      <xdr:row>23</xdr:row>
      <xdr:rowOff>138430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 bwMode="auto">
        <a:xfrm>
          <a:off x="76676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19</xdr:row>
      <xdr:rowOff>11430</xdr:rowOff>
    </xdr:from>
    <xdr:to>
      <xdr:col>12</xdr:col>
      <xdr:colOff>9525</xdr:colOff>
      <xdr:row>19</xdr:row>
      <xdr:rowOff>138430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 bwMode="auto">
        <a:xfrm>
          <a:off x="7667625" y="30880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CxnSpPr/>
      </xdr:nvCxnSpPr>
      <xdr:spPr bwMode="auto">
        <a:xfrm flipV="1">
          <a:off x="88868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25</xdr:row>
      <xdr:rowOff>11430</xdr:rowOff>
    </xdr:from>
    <xdr:to>
      <xdr:col>14</xdr:col>
      <xdr:colOff>9525</xdr:colOff>
      <xdr:row>25</xdr:row>
      <xdr:rowOff>138430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 bwMode="auto">
        <a:xfrm>
          <a:off x="88868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 bwMode="auto">
        <a:xfrm flipV="1">
          <a:off x="88868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21</xdr:row>
      <xdr:rowOff>11430</xdr:rowOff>
    </xdr:from>
    <xdr:to>
      <xdr:col>14</xdr:col>
      <xdr:colOff>9525</xdr:colOff>
      <xdr:row>21</xdr:row>
      <xdr:rowOff>138430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 bwMode="auto">
        <a:xfrm>
          <a:off x="8886825" y="34118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14</xdr:row>
      <xdr:rowOff>34925</xdr:rowOff>
    </xdr:from>
    <xdr:to>
      <xdr:col>14</xdr:col>
      <xdr:colOff>9525</xdr:colOff>
      <xdr:row>15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 bwMode="auto">
        <a:xfrm flipV="1">
          <a:off x="88868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17</xdr:row>
      <xdr:rowOff>11430</xdr:rowOff>
    </xdr:from>
    <xdr:to>
      <xdr:col>14</xdr:col>
      <xdr:colOff>9525</xdr:colOff>
      <xdr:row>17</xdr:row>
      <xdr:rowOff>138430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 bwMode="auto">
        <a:xfrm>
          <a:off x="8886825" y="27641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27</xdr:row>
      <xdr:rowOff>11430</xdr:rowOff>
    </xdr:from>
    <xdr:to>
      <xdr:col>16</xdr:col>
      <xdr:colOff>9525</xdr:colOff>
      <xdr:row>27</xdr:row>
      <xdr:rowOff>138430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CxnSpPr/>
      </xdr:nvCxnSpPr>
      <xdr:spPr bwMode="auto">
        <a:xfrm>
          <a:off x="101060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 bwMode="auto">
        <a:xfrm flipV="1">
          <a:off x="101060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23</xdr:row>
      <xdr:rowOff>11430</xdr:rowOff>
    </xdr:from>
    <xdr:to>
      <xdr:col>16</xdr:col>
      <xdr:colOff>9525</xdr:colOff>
      <xdr:row>23</xdr:row>
      <xdr:rowOff>138430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CxnSpPr/>
      </xdr:nvCxnSpPr>
      <xdr:spPr bwMode="auto">
        <a:xfrm>
          <a:off x="101060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/>
      </xdr:nvCxnSpPr>
      <xdr:spPr bwMode="auto">
        <a:xfrm flipV="1">
          <a:off x="101060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19</xdr:row>
      <xdr:rowOff>11430</xdr:rowOff>
    </xdr:from>
    <xdr:to>
      <xdr:col>16</xdr:col>
      <xdr:colOff>9525</xdr:colOff>
      <xdr:row>19</xdr:row>
      <xdr:rowOff>138430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/>
      </xdr:nvCxnSpPr>
      <xdr:spPr bwMode="auto">
        <a:xfrm>
          <a:off x="10106025" y="30880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12</xdr:row>
      <xdr:rowOff>34925</xdr:rowOff>
    </xdr:from>
    <xdr:to>
      <xdr:col>16</xdr:col>
      <xdr:colOff>9525</xdr:colOff>
      <xdr:row>13</xdr:row>
      <xdr:rowOff>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CxnSpPr/>
      </xdr:nvCxnSpPr>
      <xdr:spPr bwMode="auto">
        <a:xfrm flipV="1">
          <a:off x="101060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15</xdr:row>
      <xdr:rowOff>11430</xdr:rowOff>
    </xdr:from>
    <xdr:to>
      <xdr:col>16</xdr:col>
      <xdr:colOff>9525</xdr:colOff>
      <xdr:row>15</xdr:row>
      <xdr:rowOff>138430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 bwMode="auto">
        <a:xfrm>
          <a:off x="10106025" y="24403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29</xdr:row>
      <xdr:rowOff>11430</xdr:rowOff>
    </xdr:from>
    <xdr:to>
      <xdr:col>18</xdr:col>
      <xdr:colOff>9525</xdr:colOff>
      <xdr:row>29</xdr:row>
      <xdr:rowOff>138430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CxnSpPr/>
      </xdr:nvCxnSpPr>
      <xdr:spPr bwMode="auto">
        <a:xfrm>
          <a:off x="113252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25</xdr:row>
      <xdr:rowOff>11430</xdr:rowOff>
    </xdr:from>
    <xdr:to>
      <xdr:col>18</xdr:col>
      <xdr:colOff>9525</xdr:colOff>
      <xdr:row>25</xdr:row>
      <xdr:rowOff>138430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 bwMode="auto">
        <a:xfrm>
          <a:off x="113252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21</xdr:row>
      <xdr:rowOff>11430</xdr:rowOff>
    </xdr:from>
    <xdr:to>
      <xdr:col>18</xdr:col>
      <xdr:colOff>9525</xdr:colOff>
      <xdr:row>21</xdr:row>
      <xdr:rowOff>138430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 bwMode="auto">
        <a:xfrm>
          <a:off x="11325225" y="34118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 bwMode="auto">
        <a:xfrm flipV="1">
          <a:off x="113252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17</xdr:row>
      <xdr:rowOff>11430</xdr:rowOff>
    </xdr:from>
    <xdr:to>
      <xdr:col>18</xdr:col>
      <xdr:colOff>9525</xdr:colOff>
      <xdr:row>17</xdr:row>
      <xdr:rowOff>138430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 bwMode="auto">
        <a:xfrm>
          <a:off x="11325225" y="27641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10</xdr:row>
      <xdr:rowOff>34925</xdr:rowOff>
    </xdr:from>
    <xdr:to>
      <xdr:col>18</xdr:col>
      <xdr:colOff>9525</xdr:colOff>
      <xdr:row>11</xdr:row>
      <xdr:rowOff>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/>
      </xdr:nvCxnSpPr>
      <xdr:spPr bwMode="auto">
        <a:xfrm flipV="1">
          <a:off x="113252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13</xdr:row>
      <xdr:rowOff>11430</xdr:rowOff>
    </xdr:from>
    <xdr:to>
      <xdr:col>18</xdr:col>
      <xdr:colOff>9525</xdr:colOff>
      <xdr:row>13</xdr:row>
      <xdr:rowOff>138430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/>
      </xdr:nvCxnSpPr>
      <xdr:spPr bwMode="auto">
        <a:xfrm>
          <a:off x="113252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27</xdr:row>
      <xdr:rowOff>11430</xdr:rowOff>
    </xdr:from>
    <xdr:to>
      <xdr:col>20</xdr:col>
      <xdr:colOff>9525</xdr:colOff>
      <xdr:row>27</xdr:row>
      <xdr:rowOff>138430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 bwMode="auto">
        <a:xfrm>
          <a:off x="125444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23</xdr:row>
      <xdr:rowOff>11430</xdr:rowOff>
    </xdr:from>
    <xdr:to>
      <xdr:col>20</xdr:col>
      <xdr:colOff>9525</xdr:colOff>
      <xdr:row>23</xdr:row>
      <xdr:rowOff>138430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 bwMode="auto">
        <a:xfrm>
          <a:off x="125444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 bwMode="auto">
        <a:xfrm flipV="1">
          <a:off x="125444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19</xdr:row>
      <xdr:rowOff>11430</xdr:rowOff>
    </xdr:from>
    <xdr:to>
      <xdr:col>20</xdr:col>
      <xdr:colOff>9525</xdr:colOff>
      <xdr:row>19</xdr:row>
      <xdr:rowOff>138430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 bwMode="auto">
        <a:xfrm>
          <a:off x="12544425" y="30880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/>
      </xdr:nvCxnSpPr>
      <xdr:spPr bwMode="auto">
        <a:xfrm flipV="1">
          <a:off x="125444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15</xdr:row>
      <xdr:rowOff>11430</xdr:rowOff>
    </xdr:from>
    <xdr:to>
      <xdr:col>20</xdr:col>
      <xdr:colOff>9525</xdr:colOff>
      <xdr:row>15</xdr:row>
      <xdr:rowOff>138430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/>
      </xdr:nvCxnSpPr>
      <xdr:spPr bwMode="auto">
        <a:xfrm>
          <a:off x="12544425" y="24403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8</xdr:row>
      <xdr:rowOff>34925</xdr:rowOff>
    </xdr:from>
    <xdr:to>
      <xdr:col>20</xdr:col>
      <xdr:colOff>9525</xdr:colOff>
      <xdr:row>9</xdr:row>
      <xdr:rowOff>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/>
      </xdr:nvCxnSpPr>
      <xdr:spPr bwMode="auto">
        <a:xfrm flipV="1">
          <a:off x="125444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29</xdr:row>
      <xdr:rowOff>11430</xdr:rowOff>
    </xdr:from>
    <xdr:to>
      <xdr:col>22</xdr:col>
      <xdr:colOff>9525</xdr:colOff>
      <xdr:row>29</xdr:row>
      <xdr:rowOff>138430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CxnSpPr/>
      </xdr:nvCxnSpPr>
      <xdr:spPr bwMode="auto">
        <a:xfrm>
          <a:off x="137636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25</xdr:row>
      <xdr:rowOff>11430</xdr:rowOff>
    </xdr:from>
    <xdr:to>
      <xdr:col>22</xdr:col>
      <xdr:colOff>9525</xdr:colOff>
      <xdr:row>25</xdr:row>
      <xdr:rowOff>138430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CxnSpPr/>
      </xdr:nvCxnSpPr>
      <xdr:spPr bwMode="auto">
        <a:xfrm>
          <a:off x="137636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21</xdr:row>
      <xdr:rowOff>11430</xdr:rowOff>
    </xdr:from>
    <xdr:to>
      <xdr:col>22</xdr:col>
      <xdr:colOff>9525</xdr:colOff>
      <xdr:row>21</xdr:row>
      <xdr:rowOff>138430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CxnSpPr/>
      </xdr:nvCxnSpPr>
      <xdr:spPr bwMode="auto">
        <a:xfrm>
          <a:off x="13763625" y="34118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 bwMode="auto">
        <a:xfrm flipV="1">
          <a:off x="137636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17</xdr:row>
      <xdr:rowOff>11430</xdr:rowOff>
    </xdr:from>
    <xdr:to>
      <xdr:col>22</xdr:col>
      <xdr:colOff>9525</xdr:colOff>
      <xdr:row>17</xdr:row>
      <xdr:rowOff>138430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CxnSpPr/>
      </xdr:nvCxnSpPr>
      <xdr:spPr bwMode="auto">
        <a:xfrm>
          <a:off x="13763625" y="27641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CxnSpPr/>
      </xdr:nvCxnSpPr>
      <xdr:spPr bwMode="auto">
        <a:xfrm flipV="1">
          <a:off x="137636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13</xdr:row>
      <xdr:rowOff>11430</xdr:rowOff>
    </xdr:from>
    <xdr:to>
      <xdr:col>22</xdr:col>
      <xdr:colOff>9525</xdr:colOff>
      <xdr:row>13</xdr:row>
      <xdr:rowOff>138430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CxnSpPr/>
      </xdr:nvCxnSpPr>
      <xdr:spPr bwMode="auto">
        <a:xfrm>
          <a:off x="137636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6</xdr:row>
      <xdr:rowOff>34925</xdr:rowOff>
    </xdr:from>
    <xdr:to>
      <xdr:col>22</xdr:col>
      <xdr:colOff>9525</xdr:colOff>
      <xdr:row>7</xdr:row>
      <xdr:rowOff>0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CxnSpPr/>
      </xdr:nvCxnSpPr>
      <xdr:spPr bwMode="auto">
        <a:xfrm flipV="1">
          <a:off x="13763625" y="10064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78" name="Straight Connector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31</xdr:row>
      <xdr:rowOff>11430</xdr:rowOff>
    </xdr:from>
    <xdr:to>
      <xdr:col>24</xdr:col>
      <xdr:colOff>9525</xdr:colOff>
      <xdr:row>31</xdr:row>
      <xdr:rowOff>138430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CxnSpPr/>
      </xdr:nvCxnSpPr>
      <xdr:spPr bwMode="auto">
        <a:xfrm>
          <a:off x="149828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81" name="Straight Connector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27</xdr:row>
      <xdr:rowOff>11430</xdr:rowOff>
    </xdr:from>
    <xdr:to>
      <xdr:col>24</xdr:col>
      <xdr:colOff>9525</xdr:colOff>
      <xdr:row>27</xdr:row>
      <xdr:rowOff>138430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 bwMode="auto">
        <a:xfrm>
          <a:off x="149828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23</xdr:row>
      <xdr:rowOff>11430</xdr:rowOff>
    </xdr:from>
    <xdr:to>
      <xdr:col>24</xdr:col>
      <xdr:colOff>9525</xdr:colOff>
      <xdr:row>23</xdr:row>
      <xdr:rowOff>138430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CxnSpPr/>
      </xdr:nvCxnSpPr>
      <xdr:spPr bwMode="auto">
        <a:xfrm>
          <a:off x="149828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19</xdr:row>
      <xdr:rowOff>11430</xdr:rowOff>
    </xdr:from>
    <xdr:to>
      <xdr:col>24</xdr:col>
      <xdr:colOff>9525</xdr:colOff>
      <xdr:row>19</xdr:row>
      <xdr:rowOff>138430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CxnSpPr/>
      </xdr:nvCxnSpPr>
      <xdr:spPr bwMode="auto">
        <a:xfrm>
          <a:off x="14982825" y="30880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CxnSpPr/>
      </xdr:nvCxnSpPr>
      <xdr:spPr bwMode="auto">
        <a:xfrm flipV="1">
          <a:off x="149828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15</xdr:row>
      <xdr:rowOff>11430</xdr:rowOff>
    </xdr:from>
    <xdr:to>
      <xdr:col>24</xdr:col>
      <xdr:colOff>9525</xdr:colOff>
      <xdr:row>15</xdr:row>
      <xdr:rowOff>138430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CxnSpPr/>
      </xdr:nvCxnSpPr>
      <xdr:spPr bwMode="auto">
        <a:xfrm>
          <a:off x="14982825" y="24403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/>
      </xdr:nvCxnSpPr>
      <xdr:spPr bwMode="auto">
        <a:xfrm flipV="1">
          <a:off x="149828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11</xdr:row>
      <xdr:rowOff>11430</xdr:rowOff>
    </xdr:from>
    <xdr:to>
      <xdr:col>24</xdr:col>
      <xdr:colOff>9525</xdr:colOff>
      <xdr:row>11</xdr:row>
      <xdr:rowOff>138430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CxnSpPr/>
      </xdr:nvCxnSpPr>
      <xdr:spPr bwMode="auto">
        <a:xfrm>
          <a:off x="149828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4</xdr:row>
      <xdr:rowOff>34925</xdr:rowOff>
    </xdr:from>
    <xdr:to>
      <xdr:col>24</xdr:col>
      <xdr:colOff>9525</xdr:colOff>
      <xdr:row>5</xdr:row>
      <xdr:rowOff>0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CxnSpPr/>
      </xdr:nvCxnSpPr>
      <xdr:spPr bwMode="auto">
        <a:xfrm flipV="1">
          <a:off x="14982825" y="6826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38</xdr:row>
      <xdr:rowOff>34925</xdr:rowOff>
    </xdr:from>
    <xdr:to>
      <xdr:col>26</xdr:col>
      <xdr:colOff>9525</xdr:colOff>
      <xdr:row>39</xdr:row>
      <xdr:rowOff>0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CxnSpPr/>
      </xdr:nvCxnSpPr>
      <xdr:spPr bwMode="auto">
        <a:xfrm flipV="1">
          <a:off x="16202025" y="61880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34</xdr:row>
      <xdr:rowOff>34925</xdr:rowOff>
    </xdr:from>
    <xdr:to>
      <xdr:col>26</xdr:col>
      <xdr:colOff>9525</xdr:colOff>
      <xdr:row>35</xdr:row>
      <xdr:rowOff>0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 bwMode="auto">
        <a:xfrm flipV="1">
          <a:off x="162020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30</xdr:row>
      <xdr:rowOff>34925</xdr:rowOff>
    </xdr:from>
    <xdr:to>
      <xdr:col>26</xdr:col>
      <xdr:colOff>9525</xdr:colOff>
      <xdr:row>31</xdr:row>
      <xdr:rowOff>0</xdr:rowOff>
    </xdr:to>
    <xdr:cxnSp macro="">
      <xdr:nvCxnSpPr>
        <xdr:cNvPr id="97" name="Straight Connector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CxnSpPr/>
      </xdr:nvCxnSpPr>
      <xdr:spPr bwMode="auto">
        <a:xfrm flipV="1">
          <a:off x="162020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33</xdr:row>
      <xdr:rowOff>11430</xdr:rowOff>
    </xdr:from>
    <xdr:to>
      <xdr:col>26</xdr:col>
      <xdr:colOff>9525</xdr:colOff>
      <xdr:row>33</xdr:row>
      <xdr:rowOff>138430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 bwMode="auto">
        <a:xfrm>
          <a:off x="162020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26</xdr:row>
      <xdr:rowOff>34925</xdr:rowOff>
    </xdr:from>
    <xdr:to>
      <xdr:col>26</xdr:col>
      <xdr:colOff>9525</xdr:colOff>
      <xdr:row>27</xdr:row>
      <xdr:rowOff>0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 bwMode="auto">
        <a:xfrm flipV="1">
          <a:off x="162020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29</xdr:row>
      <xdr:rowOff>11430</xdr:rowOff>
    </xdr:from>
    <xdr:to>
      <xdr:col>26</xdr:col>
      <xdr:colOff>9525</xdr:colOff>
      <xdr:row>29</xdr:row>
      <xdr:rowOff>138430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 bwMode="auto">
        <a:xfrm>
          <a:off x="162020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22</xdr:row>
      <xdr:rowOff>34925</xdr:rowOff>
    </xdr:from>
    <xdr:to>
      <xdr:col>26</xdr:col>
      <xdr:colOff>9525</xdr:colOff>
      <xdr:row>23</xdr:row>
      <xdr:rowOff>0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CxnSpPr/>
      </xdr:nvCxnSpPr>
      <xdr:spPr bwMode="auto">
        <a:xfrm flipV="1">
          <a:off x="162020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25</xdr:row>
      <xdr:rowOff>11430</xdr:rowOff>
    </xdr:from>
    <xdr:to>
      <xdr:col>26</xdr:col>
      <xdr:colOff>9525</xdr:colOff>
      <xdr:row>25</xdr:row>
      <xdr:rowOff>138430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CxnSpPr/>
      </xdr:nvCxnSpPr>
      <xdr:spPr bwMode="auto">
        <a:xfrm>
          <a:off x="162020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18</xdr:row>
      <xdr:rowOff>34925</xdr:rowOff>
    </xdr:from>
    <xdr:to>
      <xdr:col>26</xdr:col>
      <xdr:colOff>9525</xdr:colOff>
      <xdr:row>19</xdr:row>
      <xdr:rowOff>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CxnSpPr/>
      </xdr:nvCxnSpPr>
      <xdr:spPr bwMode="auto">
        <a:xfrm flipV="1">
          <a:off x="162020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21</xdr:row>
      <xdr:rowOff>11430</xdr:rowOff>
    </xdr:from>
    <xdr:to>
      <xdr:col>26</xdr:col>
      <xdr:colOff>9525</xdr:colOff>
      <xdr:row>21</xdr:row>
      <xdr:rowOff>138430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CxnSpPr/>
      </xdr:nvCxnSpPr>
      <xdr:spPr bwMode="auto">
        <a:xfrm>
          <a:off x="16202025" y="34118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14</xdr:row>
      <xdr:rowOff>34925</xdr:rowOff>
    </xdr:from>
    <xdr:to>
      <xdr:col>26</xdr:col>
      <xdr:colOff>9525</xdr:colOff>
      <xdr:row>15</xdr:row>
      <xdr:rowOff>0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CxnSpPr/>
      </xdr:nvCxnSpPr>
      <xdr:spPr bwMode="auto">
        <a:xfrm flipV="1">
          <a:off x="162020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17</xdr:row>
      <xdr:rowOff>11430</xdr:rowOff>
    </xdr:from>
    <xdr:to>
      <xdr:col>26</xdr:col>
      <xdr:colOff>9525</xdr:colOff>
      <xdr:row>17</xdr:row>
      <xdr:rowOff>138430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/>
      </xdr:nvCxnSpPr>
      <xdr:spPr bwMode="auto">
        <a:xfrm>
          <a:off x="16202025" y="27641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10</xdr:row>
      <xdr:rowOff>34925</xdr:rowOff>
    </xdr:from>
    <xdr:to>
      <xdr:col>26</xdr:col>
      <xdr:colOff>9525</xdr:colOff>
      <xdr:row>11</xdr:row>
      <xdr:rowOff>0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/>
      </xdr:nvCxnSpPr>
      <xdr:spPr bwMode="auto">
        <a:xfrm flipV="1">
          <a:off x="162020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13</xdr:row>
      <xdr:rowOff>11430</xdr:rowOff>
    </xdr:from>
    <xdr:to>
      <xdr:col>26</xdr:col>
      <xdr:colOff>9525</xdr:colOff>
      <xdr:row>13</xdr:row>
      <xdr:rowOff>138430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CxnSpPr/>
      </xdr:nvCxnSpPr>
      <xdr:spPr bwMode="auto">
        <a:xfrm>
          <a:off x="162020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6</xdr:row>
      <xdr:rowOff>34925</xdr:rowOff>
    </xdr:from>
    <xdr:to>
      <xdr:col>26</xdr:col>
      <xdr:colOff>9525</xdr:colOff>
      <xdr:row>7</xdr:row>
      <xdr:rowOff>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CxnSpPr/>
      </xdr:nvCxnSpPr>
      <xdr:spPr bwMode="auto">
        <a:xfrm flipV="1">
          <a:off x="16202025" y="10064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9</xdr:row>
      <xdr:rowOff>11430</xdr:rowOff>
    </xdr:from>
    <xdr:to>
      <xdr:col>26</xdr:col>
      <xdr:colOff>9525</xdr:colOff>
      <xdr:row>9</xdr:row>
      <xdr:rowOff>138430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CxnSpPr/>
      </xdr:nvCxnSpPr>
      <xdr:spPr bwMode="auto">
        <a:xfrm>
          <a:off x="162020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2</xdr:row>
      <xdr:rowOff>34925</xdr:rowOff>
    </xdr:from>
    <xdr:to>
      <xdr:col>26</xdr:col>
      <xdr:colOff>9525</xdr:colOff>
      <xdr:row>3</xdr:row>
      <xdr:rowOff>0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 bwMode="auto">
        <a:xfrm flipV="1">
          <a:off x="16202025" y="3587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129" name="Straight Connector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25</xdr:row>
      <xdr:rowOff>11430</xdr:rowOff>
    </xdr:from>
    <xdr:to>
      <xdr:col>10</xdr:col>
      <xdr:colOff>9525</xdr:colOff>
      <xdr:row>25</xdr:row>
      <xdr:rowOff>138430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CxnSpPr/>
      </xdr:nvCxnSpPr>
      <xdr:spPr bwMode="auto">
        <a:xfrm>
          <a:off x="6448425" y="40595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CxnSpPr/>
      </xdr:nvCxnSpPr>
      <xdr:spPr bwMode="auto">
        <a:xfrm>
          <a:off x="52292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CxnSpPr/>
      </xdr:nvCxnSpPr>
      <xdr:spPr bwMode="auto">
        <a:xfrm>
          <a:off x="52292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CxnSpPr/>
      </xdr:nvCxnSpPr>
      <xdr:spPr bwMode="auto">
        <a:xfrm>
          <a:off x="52292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CxnSpPr/>
      </xdr:nvCxnSpPr>
      <xdr:spPr bwMode="auto">
        <a:xfrm>
          <a:off x="52292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CxnSpPr/>
      </xdr:nvCxnSpPr>
      <xdr:spPr bwMode="auto">
        <a:xfrm>
          <a:off x="52292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CxnSpPr/>
      </xdr:nvCxnSpPr>
      <xdr:spPr bwMode="auto">
        <a:xfrm>
          <a:off x="52292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23</xdr:row>
      <xdr:rowOff>11430</xdr:rowOff>
    </xdr:from>
    <xdr:to>
      <xdr:col>8</xdr:col>
      <xdr:colOff>9525</xdr:colOff>
      <xdr:row>23</xdr:row>
      <xdr:rowOff>138430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CxnSpPr/>
      </xdr:nvCxnSpPr>
      <xdr:spPr bwMode="auto">
        <a:xfrm>
          <a:off x="5229225" y="37357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19</xdr:row>
      <xdr:rowOff>11430</xdr:rowOff>
    </xdr:from>
    <xdr:to>
      <xdr:col>12</xdr:col>
      <xdr:colOff>9525</xdr:colOff>
      <xdr:row>19</xdr:row>
      <xdr:rowOff>138430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CxnSpPr/>
      </xdr:nvCxnSpPr>
      <xdr:spPr bwMode="auto">
        <a:xfrm>
          <a:off x="7667625" y="30880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17</xdr:row>
      <xdr:rowOff>11430</xdr:rowOff>
    </xdr:from>
    <xdr:to>
      <xdr:col>14</xdr:col>
      <xdr:colOff>9525</xdr:colOff>
      <xdr:row>17</xdr:row>
      <xdr:rowOff>138430</xdr:rowOff>
    </xdr:to>
    <xdr:cxnSp macro="">
      <xdr:nvCxnSpPr>
        <xdr:cNvPr id="142" name="Straight Connector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CxnSpPr/>
      </xdr:nvCxnSpPr>
      <xdr:spPr bwMode="auto">
        <a:xfrm>
          <a:off x="8886825" y="27641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17</xdr:row>
      <xdr:rowOff>11430</xdr:rowOff>
    </xdr:from>
    <xdr:to>
      <xdr:col>14</xdr:col>
      <xdr:colOff>9525</xdr:colOff>
      <xdr:row>17</xdr:row>
      <xdr:rowOff>138430</xdr:rowOff>
    </xdr:to>
    <xdr:cxnSp macro="">
      <xdr:nvCxnSpPr>
        <xdr:cNvPr id="143" name="Straight Connector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CxnSpPr/>
      </xdr:nvCxnSpPr>
      <xdr:spPr bwMode="auto">
        <a:xfrm>
          <a:off x="8886825" y="27641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15</xdr:row>
      <xdr:rowOff>11430</xdr:rowOff>
    </xdr:from>
    <xdr:to>
      <xdr:col>16</xdr:col>
      <xdr:colOff>9525</xdr:colOff>
      <xdr:row>15</xdr:row>
      <xdr:rowOff>138430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/>
      </xdr:nvCxnSpPr>
      <xdr:spPr bwMode="auto">
        <a:xfrm>
          <a:off x="10106025" y="24403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15</xdr:row>
      <xdr:rowOff>11430</xdr:rowOff>
    </xdr:from>
    <xdr:to>
      <xdr:col>16</xdr:col>
      <xdr:colOff>9525</xdr:colOff>
      <xdr:row>15</xdr:row>
      <xdr:rowOff>138430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CxnSpPr/>
      </xdr:nvCxnSpPr>
      <xdr:spPr bwMode="auto">
        <a:xfrm>
          <a:off x="10106025" y="24403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15</xdr:row>
      <xdr:rowOff>11430</xdr:rowOff>
    </xdr:from>
    <xdr:to>
      <xdr:col>16</xdr:col>
      <xdr:colOff>9525</xdr:colOff>
      <xdr:row>15</xdr:row>
      <xdr:rowOff>138430</xdr:rowOff>
    </xdr:to>
    <xdr:cxnSp macro="">
      <xdr:nvCxnSpPr>
        <xdr:cNvPr id="146" name="Straight Connector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CxnSpPr/>
      </xdr:nvCxnSpPr>
      <xdr:spPr bwMode="auto">
        <a:xfrm>
          <a:off x="10106025" y="24403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13</xdr:row>
      <xdr:rowOff>11430</xdr:rowOff>
    </xdr:from>
    <xdr:to>
      <xdr:col>18</xdr:col>
      <xdr:colOff>9525</xdr:colOff>
      <xdr:row>13</xdr:row>
      <xdr:rowOff>138430</xdr:rowOff>
    </xdr:to>
    <xdr:cxnSp macro="">
      <xdr:nvCxnSpPr>
        <xdr:cNvPr id="147" name="Straight Connector 146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CxnSpPr/>
      </xdr:nvCxnSpPr>
      <xdr:spPr bwMode="auto">
        <a:xfrm>
          <a:off x="113252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13</xdr:row>
      <xdr:rowOff>11430</xdr:rowOff>
    </xdr:from>
    <xdr:to>
      <xdr:col>18</xdr:col>
      <xdr:colOff>9525</xdr:colOff>
      <xdr:row>13</xdr:row>
      <xdr:rowOff>138430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CxnSpPr/>
      </xdr:nvCxnSpPr>
      <xdr:spPr bwMode="auto">
        <a:xfrm>
          <a:off x="113252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13</xdr:row>
      <xdr:rowOff>11430</xdr:rowOff>
    </xdr:from>
    <xdr:to>
      <xdr:col>18</xdr:col>
      <xdr:colOff>9525</xdr:colOff>
      <xdr:row>13</xdr:row>
      <xdr:rowOff>138430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CxnSpPr/>
      </xdr:nvCxnSpPr>
      <xdr:spPr bwMode="auto">
        <a:xfrm>
          <a:off x="113252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13</xdr:row>
      <xdr:rowOff>11430</xdr:rowOff>
    </xdr:from>
    <xdr:to>
      <xdr:col>18</xdr:col>
      <xdr:colOff>9525</xdr:colOff>
      <xdr:row>13</xdr:row>
      <xdr:rowOff>138430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/>
      </xdr:nvCxnSpPr>
      <xdr:spPr bwMode="auto">
        <a:xfrm>
          <a:off x="11325225" y="21164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11</xdr:row>
      <xdr:rowOff>11430</xdr:rowOff>
    </xdr:from>
    <xdr:to>
      <xdr:col>20</xdr:col>
      <xdr:colOff>9525</xdr:colOff>
      <xdr:row>11</xdr:row>
      <xdr:rowOff>138430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CxnSpPr/>
      </xdr:nvCxnSpPr>
      <xdr:spPr bwMode="auto">
        <a:xfrm>
          <a:off x="12544425" y="17926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9</xdr:row>
      <xdr:rowOff>11430</xdr:rowOff>
    </xdr:from>
    <xdr:to>
      <xdr:col>22</xdr:col>
      <xdr:colOff>9525</xdr:colOff>
      <xdr:row>9</xdr:row>
      <xdr:rowOff>138430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CxnSpPr/>
      </xdr:nvCxnSpPr>
      <xdr:spPr bwMode="auto">
        <a:xfrm>
          <a:off x="13763625" y="14687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170" name="Straight Connector 169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27</xdr:row>
      <xdr:rowOff>11430</xdr:rowOff>
    </xdr:from>
    <xdr:to>
      <xdr:col>16</xdr:col>
      <xdr:colOff>9525</xdr:colOff>
      <xdr:row>27</xdr:row>
      <xdr:rowOff>138430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CxnSpPr/>
      </xdr:nvCxnSpPr>
      <xdr:spPr bwMode="auto">
        <a:xfrm>
          <a:off x="101060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29</xdr:row>
      <xdr:rowOff>11430</xdr:rowOff>
    </xdr:from>
    <xdr:to>
      <xdr:col>18</xdr:col>
      <xdr:colOff>9525</xdr:colOff>
      <xdr:row>29</xdr:row>
      <xdr:rowOff>138430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CxnSpPr/>
      </xdr:nvCxnSpPr>
      <xdr:spPr bwMode="auto">
        <a:xfrm>
          <a:off x="113252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29</xdr:row>
      <xdr:rowOff>11430</xdr:rowOff>
    </xdr:from>
    <xdr:to>
      <xdr:col>18</xdr:col>
      <xdr:colOff>9525</xdr:colOff>
      <xdr:row>29</xdr:row>
      <xdr:rowOff>138430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CxnSpPr/>
      </xdr:nvCxnSpPr>
      <xdr:spPr bwMode="auto">
        <a:xfrm>
          <a:off x="113252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188" name="Straight Connector 187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192" name="Straight Connector 191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194" name="Straight Connector 193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197" name="Straight Connector 196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203" name="Straight Connector 202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7</xdr:row>
      <xdr:rowOff>11430</xdr:rowOff>
    </xdr:from>
    <xdr:to>
      <xdr:col>24</xdr:col>
      <xdr:colOff>9525</xdr:colOff>
      <xdr:row>7</xdr:row>
      <xdr:rowOff>138430</xdr:rowOff>
    </xdr:to>
    <xdr:cxnSp macro="">
      <xdr:nvCxnSpPr>
        <xdr:cNvPr id="204" name="Straight Connector 203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CxnSpPr/>
      </xdr:nvCxnSpPr>
      <xdr:spPr bwMode="auto">
        <a:xfrm>
          <a:off x="14982825" y="11449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05" name="Straight Connector 204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06" name="Straight Connector 205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07" name="Straight Connector 206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08" name="Straight Connector 207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09" name="Straight Connector 208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10" name="Straight Connector 209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11" name="Straight Connector 210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12" name="Straight Connector 211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13" name="Straight Connector 212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16" name="Straight Connector 215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17" name="Straight Connector 216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5</xdr:row>
      <xdr:rowOff>11430</xdr:rowOff>
    </xdr:from>
    <xdr:to>
      <xdr:col>26</xdr:col>
      <xdr:colOff>9525</xdr:colOff>
      <xdr:row>5</xdr:row>
      <xdr:rowOff>138430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CxnSpPr/>
      </xdr:nvCxnSpPr>
      <xdr:spPr bwMode="auto">
        <a:xfrm>
          <a:off x="16202025" y="8210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31</xdr:row>
      <xdr:rowOff>11430</xdr:rowOff>
    </xdr:from>
    <xdr:to>
      <xdr:col>20</xdr:col>
      <xdr:colOff>9525</xdr:colOff>
      <xdr:row>31</xdr:row>
      <xdr:rowOff>138430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CxnSpPr/>
      </xdr:nvCxnSpPr>
      <xdr:spPr bwMode="auto">
        <a:xfrm>
          <a:off x="125444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223" name="Straight Connector 222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225" name="Straight Connector 224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227" name="Straight Connector 226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33</xdr:row>
      <xdr:rowOff>11430</xdr:rowOff>
    </xdr:from>
    <xdr:to>
      <xdr:col>22</xdr:col>
      <xdr:colOff>9525</xdr:colOff>
      <xdr:row>33</xdr:row>
      <xdr:rowOff>138430</xdr:rowOff>
    </xdr:to>
    <xdr:cxnSp macro="">
      <xdr:nvCxnSpPr>
        <xdr:cNvPr id="229" name="Straight Connector 228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CxnSpPr/>
      </xdr:nvCxnSpPr>
      <xdr:spPr bwMode="auto">
        <a:xfrm>
          <a:off x="137636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30" name="Straight Connector 229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31" name="Straight Connector 230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32" name="Straight Connector 231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33" name="Straight Connector 232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34" name="Straight Connector 233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35" name="Straight Connector 234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36" name="Straight Connector 235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37" name="Straight Connector 236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38" name="Straight Connector 237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39" name="Straight Connector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40" name="Straight Connector 239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35</xdr:row>
      <xdr:rowOff>11430</xdr:rowOff>
    </xdr:from>
    <xdr:to>
      <xdr:col>24</xdr:col>
      <xdr:colOff>9525</xdr:colOff>
      <xdr:row>35</xdr:row>
      <xdr:rowOff>138430</xdr:rowOff>
    </xdr:to>
    <xdr:cxnSp macro="">
      <xdr:nvCxnSpPr>
        <xdr:cNvPr id="241" name="Straight Connector 24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CxnSpPr/>
      </xdr:nvCxnSpPr>
      <xdr:spPr bwMode="auto">
        <a:xfrm>
          <a:off x="149828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42" name="Straight Connector 241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43" name="Straight Connector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45" name="Straight Connector 244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46" name="Straight Connector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47" name="Straight Connector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48" name="Straight Connector 247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49" name="Straight Connector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50" name="Straight Connector 249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51" name="Straight Connector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53" name="Straight Connector 252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54" name="Straight Connector 253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55" name="Straight Connector 254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56" name="Straight Connector 255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57" name="Straight Connector 256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58" name="Straight Connector 257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37</xdr:row>
      <xdr:rowOff>11430</xdr:rowOff>
    </xdr:from>
    <xdr:to>
      <xdr:col>26</xdr:col>
      <xdr:colOff>9525</xdr:colOff>
      <xdr:row>37</xdr:row>
      <xdr:rowOff>138430</xdr:rowOff>
    </xdr:to>
    <xdr:cxnSp macro="">
      <xdr:nvCxnSpPr>
        <xdr:cNvPr id="259" name="Straight Connector 258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CxnSpPr/>
      </xdr:nvCxnSpPr>
      <xdr:spPr bwMode="auto">
        <a:xfrm>
          <a:off x="162020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260" name="Straight Connector 259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261" name="Straight Connector 260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262" name="Straight Connector 261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263" name="Straight Connector 262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264" name="Straight Connector 263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265" name="Straight Connector 264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27</xdr:row>
      <xdr:rowOff>11430</xdr:rowOff>
    </xdr:from>
    <xdr:to>
      <xdr:col>12</xdr:col>
      <xdr:colOff>9525</xdr:colOff>
      <xdr:row>27</xdr:row>
      <xdr:rowOff>138430</xdr:rowOff>
    </xdr:to>
    <xdr:cxnSp macro="">
      <xdr:nvCxnSpPr>
        <xdr:cNvPr id="266" name="Straight Connector 265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CxnSpPr/>
      </xdr:nvCxnSpPr>
      <xdr:spPr bwMode="auto">
        <a:xfrm>
          <a:off x="7667625" y="43834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67" name="Straight Connector 266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68" name="Straight Connector 267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69" name="Straight Connector 268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70" name="Straight Connector 269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71" name="Straight Connector 27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72" name="Straight Connector 271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73" name="Straight Connector 272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74" name="Straight Connector 273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75" name="Straight Connector 274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76" name="Straight Connector 275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77" name="Straight Connector 276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78" name="Straight Connector 277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29</xdr:row>
      <xdr:rowOff>11430</xdr:rowOff>
    </xdr:from>
    <xdr:to>
      <xdr:col>14</xdr:col>
      <xdr:colOff>9525</xdr:colOff>
      <xdr:row>29</xdr:row>
      <xdr:rowOff>138430</xdr:rowOff>
    </xdr:to>
    <xdr:cxnSp macro="">
      <xdr:nvCxnSpPr>
        <xdr:cNvPr id="279" name="Straight Connector 278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CxnSpPr/>
      </xdr:nvCxnSpPr>
      <xdr:spPr bwMode="auto">
        <a:xfrm>
          <a:off x="8886825" y="47072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80" name="Straight Connector 279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81" name="Straight Connector 280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82" name="Straight Connector 281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83" name="Straight Connector 282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84" name="Straight Connector 283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86" name="Straight Connector 285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87" name="Straight Connector 286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88" name="Straight Connector 287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89" name="Straight Connector 288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90" name="Straight Connector 289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91" name="Straight Connector 290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92" name="Straight Connector 291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93" name="Straight Connector 292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94" name="Straight Connector 293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95" name="Straight Connector 294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96" name="Straight Connector 295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31</xdr:row>
      <xdr:rowOff>11430</xdr:rowOff>
    </xdr:from>
    <xdr:to>
      <xdr:col>16</xdr:col>
      <xdr:colOff>9525</xdr:colOff>
      <xdr:row>31</xdr:row>
      <xdr:rowOff>138430</xdr:rowOff>
    </xdr:to>
    <xdr:cxnSp macro="">
      <xdr:nvCxnSpPr>
        <xdr:cNvPr id="297" name="Straight Connector 296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CxnSpPr/>
      </xdr:nvCxnSpPr>
      <xdr:spPr bwMode="auto">
        <a:xfrm>
          <a:off x="10106025" y="50311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298" name="Straight Connector 297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299" name="Straight Connector 298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00" name="Straight Connector 299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01" name="Straight Connector 300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02" name="Straight Connector 301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03" name="Straight Connector 302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04" name="Straight Connector 303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05" name="Straight Connector 304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06" name="Straight Connector 305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07" name="Straight Connector 306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08" name="Straight Connector 307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09" name="Straight Connector 308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10" name="Straight Connector 309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11" name="Straight Connector 310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12" name="Straight Connector 311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13" name="Straight Connector 312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14" name="Straight Connector 313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15" name="Straight Connector 314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16" name="Straight Connector 315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17" name="Straight Connector 316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18" name="Straight Connector 317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33</xdr:row>
      <xdr:rowOff>11430</xdr:rowOff>
    </xdr:from>
    <xdr:to>
      <xdr:col>18</xdr:col>
      <xdr:colOff>9525</xdr:colOff>
      <xdr:row>33</xdr:row>
      <xdr:rowOff>138430</xdr:rowOff>
    </xdr:to>
    <xdr:cxnSp macro="">
      <xdr:nvCxnSpPr>
        <xdr:cNvPr id="319" name="Straight Connector 318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CxnSpPr/>
      </xdr:nvCxnSpPr>
      <xdr:spPr bwMode="auto">
        <a:xfrm>
          <a:off x="11325225" y="53549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20" name="Straight Connector 319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21" name="Straight Connector 320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22" name="Straight Connector 321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23" name="Straight Connector 322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24" name="Straight Connector 323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25" name="Straight Connector 324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26" name="Straight Connector 325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27" name="Straight Connector 326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28" name="Straight Connector 327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29" name="Straight Connector 328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30" name="Straight Connector 329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31" name="Straight Connector 330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32" name="Straight Connector 331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33" name="Straight Connector 332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34" name="Straight Connector 333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35" name="Straight Connector 334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36" name="Straight Connector 335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37" name="Straight Connector 336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38" name="Straight Connector 337"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35</xdr:row>
      <xdr:rowOff>11430</xdr:rowOff>
    </xdr:from>
    <xdr:to>
      <xdr:col>20</xdr:col>
      <xdr:colOff>9525</xdr:colOff>
      <xdr:row>35</xdr:row>
      <xdr:rowOff>138430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CxnSpPr/>
      </xdr:nvCxnSpPr>
      <xdr:spPr bwMode="auto">
        <a:xfrm>
          <a:off x="12544425" y="56788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40" name="Straight Connector 339">
          <a:extLst>
            <a:ext uri="{FF2B5EF4-FFF2-40B4-BE49-F238E27FC236}">
              <a16:creationId xmlns:a16="http://schemas.microsoft.com/office/drawing/2014/main" id="{00000000-0008-0000-0500-000054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41" name="Straight Connector 340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42" name="Straight Connector 341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43" name="Straight Connector 342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44" name="Straight Connector 343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45" name="Straight Connector 344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46" name="Straight Connector 345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47" name="Straight Connector 346"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48" name="Straight Connector 347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49" name="Straight Connector 348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50" name="Straight Connector 349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51" name="Straight Connector 350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52" name="Straight Connector 351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53" name="Straight Connector 352"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54" name="Straight Connector 353">
          <a:extLst>
            <a:ext uri="{FF2B5EF4-FFF2-40B4-BE49-F238E27FC236}">
              <a16:creationId xmlns:a16="http://schemas.microsoft.com/office/drawing/2014/main" id="{00000000-0008-0000-0500-000062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55" name="Straight Connector 354"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57" name="Straight Connector 356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58" name="Straight Connector 357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59" name="Straight Connector 358"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60" name="Straight Connector 359">
          <a:extLst>
            <a:ext uri="{FF2B5EF4-FFF2-40B4-BE49-F238E27FC236}">
              <a16:creationId xmlns:a16="http://schemas.microsoft.com/office/drawing/2014/main" id="{00000000-0008-0000-0500-000068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500-00006A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500-00006B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500-00006C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65" name="Straight Connector 364">
          <a:extLst>
            <a:ext uri="{FF2B5EF4-FFF2-40B4-BE49-F238E27FC236}">
              <a16:creationId xmlns:a16="http://schemas.microsoft.com/office/drawing/2014/main" id="{00000000-0008-0000-0500-00006D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37</xdr:row>
      <xdr:rowOff>11430</xdr:rowOff>
    </xdr:from>
    <xdr:to>
      <xdr:col>22</xdr:col>
      <xdr:colOff>9525</xdr:colOff>
      <xdr:row>37</xdr:row>
      <xdr:rowOff>138430</xdr:rowOff>
    </xdr:to>
    <xdr:cxnSp macro="">
      <xdr:nvCxnSpPr>
        <xdr:cNvPr id="366" name="Straight Connector 365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CxnSpPr/>
      </xdr:nvCxnSpPr>
      <xdr:spPr bwMode="auto">
        <a:xfrm>
          <a:off x="13763625" y="60026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67" name="Straight Connector 366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68" name="Straight Connector 367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69" name="Straight Connector 368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70" name="Straight Connector 369">
          <a:extLst>
            <a:ext uri="{FF2B5EF4-FFF2-40B4-BE49-F238E27FC236}">
              <a16:creationId xmlns:a16="http://schemas.microsoft.com/office/drawing/2014/main" id="{00000000-0008-0000-0500-000072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71" name="Straight Connector 370">
          <a:extLst>
            <a:ext uri="{FF2B5EF4-FFF2-40B4-BE49-F238E27FC236}">
              <a16:creationId xmlns:a16="http://schemas.microsoft.com/office/drawing/2014/main" id="{00000000-0008-0000-0500-000073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72" name="Straight Connector 371">
          <a:extLst>
            <a:ext uri="{FF2B5EF4-FFF2-40B4-BE49-F238E27FC236}">
              <a16:creationId xmlns:a16="http://schemas.microsoft.com/office/drawing/2014/main" id="{00000000-0008-0000-0500-000074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73" name="Straight Connector 372">
          <a:extLst>
            <a:ext uri="{FF2B5EF4-FFF2-40B4-BE49-F238E27FC236}">
              <a16:creationId xmlns:a16="http://schemas.microsoft.com/office/drawing/2014/main" id="{00000000-0008-0000-0500-000075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74" name="Straight Connector 373">
          <a:extLst>
            <a:ext uri="{FF2B5EF4-FFF2-40B4-BE49-F238E27FC236}">
              <a16:creationId xmlns:a16="http://schemas.microsoft.com/office/drawing/2014/main" id="{00000000-0008-0000-0500-000076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75" name="Straight Connector 374">
          <a:extLst>
            <a:ext uri="{FF2B5EF4-FFF2-40B4-BE49-F238E27FC236}">
              <a16:creationId xmlns:a16="http://schemas.microsoft.com/office/drawing/2014/main" id="{00000000-0008-0000-0500-000077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76" name="Straight Connector 375">
          <a:extLst>
            <a:ext uri="{FF2B5EF4-FFF2-40B4-BE49-F238E27FC236}">
              <a16:creationId xmlns:a16="http://schemas.microsoft.com/office/drawing/2014/main" id="{00000000-0008-0000-0500-000078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77" name="Straight Connector 376">
          <a:extLst>
            <a:ext uri="{FF2B5EF4-FFF2-40B4-BE49-F238E27FC236}">
              <a16:creationId xmlns:a16="http://schemas.microsoft.com/office/drawing/2014/main" id="{00000000-0008-0000-0500-000079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78" name="Straight Connector 377">
          <a:extLst>
            <a:ext uri="{FF2B5EF4-FFF2-40B4-BE49-F238E27FC236}">
              <a16:creationId xmlns:a16="http://schemas.microsoft.com/office/drawing/2014/main" id="{00000000-0008-0000-0500-00007A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79" name="Straight Connector 378">
          <a:extLst>
            <a:ext uri="{FF2B5EF4-FFF2-40B4-BE49-F238E27FC236}">
              <a16:creationId xmlns:a16="http://schemas.microsoft.com/office/drawing/2014/main" id="{00000000-0008-0000-0500-00007B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80" name="Straight Connector 379">
          <a:extLst>
            <a:ext uri="{FF2B5EF4-FFF2-40B4-BE49-F238E27FC236}">
              <a16:creationId xmlns:a16="http://schemas.microsoft.com/office/drawing/2014/main" id="{00000000-0008-0000-0500-00007C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81" name="Straight Connector 380">
          <a:extLst>
            <a:ext uri="{FF2B5EF4-FFF2-40B4-BE49-F238E27FC236}">
              <a16:creationId xmlns:a16="http://schemas.microsoft.com/office/drawing/2014/main" id="{00000000-0008-0000-0500-00007D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82" name="Straight Connector 381">
          <a:extLst>
            <a:ext uri="{FF2B5EF4-FFF2-40B4-BE49-F238E27FC236}">
              <a16:creationId xmlns:a16="http://schemas.microsoft.com/office/drawing/2014/main" id="{00000000-0008-0000-0500-00007E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83" name="Straight Connector 382">
          <a:extLst>
            <a:ext uri="{FF2B5EF4-FFF2-40B4-BE49-F238E27FC236}">
              <a16:creationId xmlns:a16="http://schemas.microsoft.com/office/drawing/2014/main" id="{00000000-0008-0000-0500-00007F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84" name="Straight Connector 383">
          <a:extLst>
            <a:ext uri="{FF2B5EF4-FFF2-40B4-BE49-F238E27FC236}">
              <a16:creationId xmlns:a16="http://schemas.microsoft.com/office/drawing/2014/main" id="{00000000-0008-0000-0500-000080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85" name="Straight Connector 384">
          <a:extLst>
            <a:ext uri="{FF2B5EF4-FFF2-40B4-BE49-F238E27FC236}">
              <a16:creationId xmlns:a16="http://schemas.microsoft.com/office/drawing/2014/main" id="{00000000-0008-0000-0500-000081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86" name="Straight Connector 385">
          <a:extLst>
            <a:ext uri="{FF2B5EF4-FFF2-40B4-BE49-F238E27FC236}">
              <a16:creationId xmlns:a16="http://schemas.microsoft.com/office/drawing/2014/main" id="{00000000-0008-0000-0500-000082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87" name="Straight Connector 386">
          <a:extLst>
            <a:ext uri="{FF2B5EF4-FFF2-40B4-BE49-F238E27FC236}">
              <a16:creationId xmlns:a16="http://schemas.microsoft.com/office/drawing/2014/main" id="{00000000-0008-0000-0500-000083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88" name="Straight Connector 387">
          <a:extLst>
            <a:ext uri="{FF2B5EF4-FFF2-40B4-BE49-F238E27FC236}">
              <a16:creationId xmlns:a16="http://schemas.microsoft.com/office/drawing/2014/main" id="{00000000-0008-0000-0500-000084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89" name="Straight Connector 388">
          <a:extLst>
            <a:ext uri="{FF2B5EF4-FFF2-40B4-BE49-F238E27FC236}">
              <a16:creationId xmlns:a16="http://schemas.microsoft.com/office/drawing/2014/main" id="{00000000-0008-0000-0500-000085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90" name="Straight Connector 389">
          <a:extLst>
            <a:ext uri="{FF2B5EF4-FFF2-40B4-BE49-F238E27FC236}">
              <a16:creationId xmlns:a16="http://schemas.microsoft.com/office/drawing/2014/main" id="{00000000-0008-0000-0500-000086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91" name="Straight Connector 390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92" name="Straight Connector 391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93" name="Straight Connector 392">
          <a:extLst>
            <a:ext uri="{FF2B5EF4-FFF2-40B4-BE49-F238E27FC236}">
              <a16:creationId xmlns:a16="http://schemas.microsoft.com/office/drawing/2014/main" id="{00000000-0008-0000-0500-000089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39</xdr:row>
      <xdr:rowOff>11430</xdr:rowOff>
    </xdr:from>
    <xdr:to>
      <xdr:col>24</xdr:col>
      <xdr:colOff>9525</xdr:colOff>
      <xdr:row>39</xdr:row>
      <xdr:rowOff>138430</xdr:rowOff>
    </xdr:to>
    <xdr:cxnSp macro="">
      <xdr:nvCxnSpPr>
        <xdr:cNvPr id="394" name="Straight Connector 393">
          <a:extLst>
            <a:ext uri="{FF2B5EF4-FFF2-40B4-BE49-F238E27FC236}">
              <a16:creationId xmlns:a16="http://schemas.microsoft.com/office/drawing/2014/main" id="{00000000-0008-0000-0500-00008A010000}"/>
            </a:ext>
          </a:extLst>
        </xdr:cNvPr>
        <xdr:cNvCxnSpPr/>
      </xdr:nvCxnSpPr>
      <xdr:spPr bwMode="auto">
        <a:xfrm>
          <a:off x="14982825" y="632650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395" name="Straight Connector 394">
          <a:extLst>
            <a:ext uri="{FF2B5EF4-FFF2-40B4-BE49-F238E27FC236}">
              <a16:creationId xmlns:a16="http://schemas.microsoft.com/office/drawing/2014/main" id="{00000000-0008-0000-0500-00008B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396" name="Straight Connector 395">
          <a:extLst>
            <a:ext uri="{FF2B5EF4-FFF2-40B4-BE49-F238E27FC236}">
              <a16:creationId xmlns:a16="http://schemas.microsoft.com/office/drawing/2014/main" id="{00000000-0008-0000-0500-00008C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397" name="Straight Connector 396">
          <a:extLst>
            <a:ext uri="{FF2B5EF4-FFF2-40B4-BE49-F238E27FC236}">
              <a16:creationId xmlns:a16="http://schemas.microsoft.com/office/drawing/2014/main" id="{00000000-0008-0000-0500-00008D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398" name="Straight Connector 397">
          <a:extLst>
            <a:ext uri="{FF2B5EF4-FFF2-40B4-BE49-F238E27FC236}">
              <a16:creationId xmlns:a16="http://schemas.microsoft.com/office/drawing/2014/main" id="{00000000-0008-0000-0500-00008E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399" name="Straight Connector 398">
          <a:extLst>
            <a:ext uri="{FF2B5EF4-FFF2-40B4-BE49-F238E27FC236}">
              <a16:creationId xmlns:a16="http://schemas.microsoft.com/office/drawing/2014/main" id="{00000000-0008-0000-0500-00008F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00" name="Straight Connector 399">
          <a:extLst>
            <a:ext uri="{FF2B5EF4-FFF2-40B4-BE49-F238E27FC236}">
              <a16:creationId xmlns:a16="http://schemas.microsoft.com/office/drawing/2014/main" id="{00000000-0008-0000-0500-000090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01" name="Straight Connector 400">
          <a:extLst>
            <a:ext uri="{FF2B5EF4-FFF2-40B4-BE49-F238E27FC236}">
              <a16:creationId xmlns:a16="http://schemas.microsoft.com/office/drawing/2014/main" id="{00000000-0008-0000-0500-000091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02" name="Straight Connector 401">
          <a:extLst>
            <a:ext uri="{FF2B5EF4-FFF2-40B4-BE49-F238E27FC236}">
              <a16:creationId xmlns:a16="http://schemas.microsoft.com/office/drawing/2014/main" id="{00000000-0008-0000-0500-000092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03" name="Straight Connector 402">
          <a:extLst>
            <a:ext uri="{FF2B5EF4-FFF2-40B4-BE49-F238E27FC236}">
              <a16:creationId xmlns:a16="http://schemas.microsoft.com/office/drawing/2014/main" id="{00000000-0008-0000-0500-000093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04" name="Straight Connector 403">
          <a:extLst>
            <a:ext uri="{FF2B5EF4-FFF2-40B4-BE49-F238E27FC236}">
              <a16:creationId xmlns:a16="http://schemas.microsoft.com/office/drawing/2014/main" id="{00000000-0008-0000-0500-000094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05" name="Straight Connector 404">
          <a:extLst>
            <a:ext uri="{FF2B5EF4-FFF2-40B4-BE49-F238E27FC236}">
              <a16:creationId xmlns:a16="http://schemas.microsoft.com/office/drawing/2014/main" id="{00000000-0008-0000-0500-000095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06" name="Straight Connector 405">
          <a:extLst>
            <a:ext uri="{FF2B5EF4-FFF2-40B4-BE49-F238E27FC236}">
              <a16:creationId xmlns:a16="http://schemas.microsoft.com/office/drawing/2014/main" id="{00000000-0008-0000-0500-000096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07" name="Straight Connector 406">
          <a:extLst>
            <a:ext uri="{FF2B5EF4-FFF2-40B4-BE49-F238E27FC236}">
              <a16:creationId xmlns:a16="http://schemas.microsoft.com/office/drawing/2014/main" id="{00000000-0008-0000-0500-000097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08" name="Straight Connector 407">
          <a:extLst>
            <a:ext uri="{FF2B5EF4-FFF2-40B4-BE49-F238E27FC236}">
              <a16:creationId xmlns:a16="http://schemas.microsoft.com/office/drawing/2014/main" id="{00000000-0008-0000-0500-000098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09" name="Straight Connector 408">
          <a:extLst>
            <a:ext uri="{FF2B5EF4-FFF2-40B4-BE49-F238E27FC236}">
              <a16:creationId xmlns:a16="http://schemas.microsoft.com/office/drawing/2014/main" id="{00000000-0008-0000-0500-000099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10" name="Straight Connector 409">
          <a:extLst>
            <a:ext uri="{FF2B5EF4-FFF2-40B4-BE49-F238E27FC236}">
              <a16:creationId xmlns:a16="http://schemas.microsoft.com/office/drawing/2014/main" id="{00000000-0008-0000-0500-00009A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11" name="Straight Connector 410">
          <a:extLst>
            <a:ext uri="{FF2B5EF4-FFF2-40B4-BE49-F238E27FC236}">
              <a16:creationId xmlns:a16="http://schemas.microsoft.com/office/drawing/2014/main" id="{00000000-0008-0000-0500-00009B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12" name="Straight Connector 411">
          <a:extLst>
            <a:ext uri="{FF2B5EF4-FFF2-40B4-BE49-F238E27FC236}">
              <a16:creationId xmlns:a16="http://schemas.microsoft.com/office/drawing/2014/main" id="{00000000-0008-0000-0500-00009C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13" name="Straight Connector 412">
          <a:extLst>
            <a:ext uri="{FF2B5EF4-FFF2-40B4-BE49-F238E27FC236}">
              <a16:creationId xmlns:a16="http://schemas.microsoft.com/office/drawing/2014/main" id="{00000000-0008-0000-0500-00009D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14" name="Straight Connector 413">
          <a:extLst>
            <a:ext uri="{FF2B5EF4-FFF2-40B4-BE49-F238E27FC236}">
              <a16:creationId xmlns:a16="http://schemas.microsoft.com/office/drawing/2014/main" id="{00000000-0008-0000-0500-00009E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15" name="Straight Connector 414">
          <a:extLst>
            <a:ext uri="{FF2B5EF4-FFF2-40B4-BE49-F238E27FC236}">
              <a16:creationId xmlns:a16="http://schemas.microsoft.com/office/drawing/2014/main" id="{00000000-0008-0000-0500-00009F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16" name="Straight Connector 415">
          <a:extLst>
            <a:ext uri="{FF2B5EF4-FFF2-40B4-BE49-F238E27FC236}">
              <a16:creationId xmlns:a16="http://schemas.microsoft.com/office/drawing/2014/main" id="{00000000-0008-0000-0500-0000A0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17" name="Straight Connector 416">
          <a:extLst>
            <a:ext uri="{FF2B5EF4-FFF2-40B4-BE49-F238E27FC236}">
              <a16:creationId xmlns:a16="http://schemas.microsoft.com/office/drawing/2014/main" id="{00000000-0008-0000-0500-0000A1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18" name="Straight Connector 417">
          <a:extLst>
            <a:ext uri="{FF2B5EF4-FFF2-40B4-BE49-F238E27FC236}">
              <a16:creationId xmlns:a16="http://schemas.microsoft.com/office/drawing/2014/main" id="{00000000-0008-0000-0500-0000A2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19" name="Straight Connector 418">
          <a:extLst>
            <a:ext uri="{FF2B5EF4-FFF2-40B4-BE49-F238E27FC236}">
              <a16:creationId xmlns:a16="http://schemas.microsoft.com/office/drawing/2014/main" id="{00000000-0008-0000-0500-0000A3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20" name="Straight Connector 419">
          <a:extLst>
            <a:ext uri="{FF2B5EF4-FFF2-40B4-BE49-F238E27FC236}">
              <a16:creationId xmlns:a16="http://schemas.microsoft.com/office/drawing/2014/main" id="{00000000-0008-0000-0500-0000A4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21" name="Straight Connector 420">
          <a:extLst>
            <a:ext uri="{FF2B5EF4-FFF2-40B4-BE49-F238E27FC236}">
              <a16:creationId xmlns:a16="http://schemas.microsoft.com/office/drawing/2014/main" id="{00000000-0008-0000-0500-0000A5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22" name="Straight Connector 421">
          <a:extLst>
            <a:ext uri="{FF2B5EF4-FFF2-40B4-BE49-F238E27FC236}">
              <a16:creationId xmlns:a16="http://schemas.microsoft.com/office/drawing/2014/main" id="{00000000-0008-0000-0500-0000A6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25</xdr:col>
      <xdr:colOff>0</xdr:colOff>
      <xdr:row>41</xdr:row>
      <xdr:rowOff>11430</xdr:rowOff>
    </xdr:from>
    <xdr:to>
      <xdr:col>26</xdr:col>
      <xdr:colOff>9525</xdr:colOff>
      <xdr:row>41</xdr:row>
      <xdr:rowOff>138430</xdr:rowOff>
    </xdr:to>
    <xdr:cxnSp macro="">
      <xdr:nvCxnSpPr>
        <xdr:cNvPr id="423" name="Straight Connector 422">
          <a:extLst>
            <a:ext uri="{FF2B5EF4-FFF2-40B4-BE49-F238E27FC236}">
              <a16:creationId xmlns:a16="http://schemas.microsoft.com/office/drawing/2014/main" id="{00000000-0008-0000-0500-0000A7010000}"/>
            </a:ext>
          </a:extLst>
        </xdr:cNvPr>
        <xdr:cNvCxnSpPr/>
      </xdr:nvCxnSpPr>
      <xdr:spPr bwMode="auto">
        <a:xfrm>
          <a:off x="16202025" y="665035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8</xdr:row>
      <xdr:rowOff>34925</xdr:rowOff>
    </xdr:from>
    <xdr:to>
      <xdr:col>20</xdr:col>
      <xdr:colOff>9525</xdr:colOff>
      <xdr:row>9</xdr:row>
      <xdr:rowOff>0</xdr:rowOff>
    </xdr:to>
    <xdr:cxnSp macro="">
      <xdr:nvCxnSpPr>
        <xdr:cNvPr id="424" name="Straight Connector 423">
          <a:extLst>
            <a:ext uri="{FF2B5EF4-FFF2-40B4-BE49-F238E27FC236}">
              <a16:creationId xmlns:a16="http://schemas.microsoft.com/office/drawing/2014/main" id="{00000000-0008-0000-0500-0000A8010000}"/>
            </a:ext>
          </a:extLst>
        </xdr:cNvPr>
        <xdr:cNvCxnSpPr/>
      </xdr:nvCxnSpPr>
      <xdr:spPr bwMode="auto">
        <a:xfrm flipV="1">
          <a:off x="125444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10</xdr:row>
      <xdr:rowOff>34925</xdr:rowOff>
    </xdr:from>
    <xdr:to>
      <xdr:col>18</xdr:col>
      <xdr:colOff>9525</xdr:colOff>
      <xdr:row>11</xdr:row>
      <xdr:rowOff>0</xdr:rowOff>
    </xdr:to>
    <xdr:cxnSp macro="">
      <xdr:nvCxnSpPr>
        <xdr:cNvPr id="425" name="Straight Connector 424">
          <a:extLst>
            <a:ext uri="{FF2B5EF4-FFF2-40B4-BE49-F238E27FC236}">
              <a16:creationId xmlns:a16="http://schemas.microsoft.com/office/drawing/2014/main" id="{00000000-0008-0000-0500-0000A9010000}"/>
            </a:ext>
          </a:extLst>
        </xdr:cNvPr>
        <xdr:cNvCxnSpPr/>
      </xdr:nvCxnSpPr>
      <xdr:spPr bwMode="auto">
        <a:xfrm flipV="1">
          <a:off x="113252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10</xdr:row>
      <xdr:rowOff>34925</xdr:rowOff>
    </xdr:from>
    <xdr:to>
      <xdr:col>18</xdr:col>
      <xdr:colOff>9525</xdr:colOff>
      <xdr:row>11</xdr:row>
      <xdr:rowOff>0</xdr:rowOff>
    </xdr:to>
    <xdr:cxnSp macro="">
      <xdr:nvCxnSpPr>
        <xdr:cNvPr id="426" name="Straight Connector 425">
          <a:extLst>
            <a:ext uri="{FF2B5EF4-FFF2-40B4-BE49-F238E27FC236}">
              <a16:creationId xmlns:a16="http://schemas.microsoft.com/office/drawing/2014/main" id="{00000000-0008-0000-0500-0000AA010000}"/>
            </a:ext>
          </a:extLst>
        </xdr:cNvPr>
        <xdr:cNvCxnSpPr/>
      </xdr:nvCxnSpPr>
      <xdr:spPr bwMode="auto">
        <a:xfrm flipV="1">
          <a:off x="113252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12</xdr:row>
      <xdr:rowOff>34925</xdr:rowOff>
    </xdr:from>
    <xdr:to>
      <xdr:col>16</xdr:col>
      <xdr:colOff>9525</xdr:colOff>
      <xdr:row>13</xdr:row>
      <xdr:rowOff>0</xdr:rowOff>
    </xdr:to>
    <xdr:cxnSp macro="">
      <xdr:nvCxnSpPr>
        <xdr:cNvPr id="427" name="Straight Connector 426">
          <a:extLst>
            <a:ext uri="{FF2B5EF4-FFF2-40B4-BE49-F238E27FC236}">
              <a16:creationId xmlns:a16="http://schemas.microsoft.com/office/drawing/2014/main" id="{00000000-0008-0000-0500-0000AB010000}"/>
            </a:ext>
          </a:extLst>
        </xdr:cNvPr>
        <xdr:cNvCxnSpPr/>
      </xdr:nvCxnSpPr>
      <xdr:spPr bwMode="auto">
        <a:xfrm flipV="1">
          <a:off x="101060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12</xdr:row>
      <xdr:rowOff>34925</xdr:rowOff>
    </xdr:from>
    <xdr:to>
      <xdr:col>16</xdr:col>
      <xdr:colOff>9525</xdr:colOff>
      <xdr:row>13</xdr:row>
      <xdr:rowOff>0</xdr:rowOff>
    </xdr:to>
    <xdr:cxnSp macro="">
      <xdr:nvCxnSpPr>
        <xdr:cNvPr id="428" name="Straight Connector 427">
          <a:extLst>
            <a:ext uri="{FF2B5EF4-FFF2-40B4-BE49-F238E27FC236}">
              <a16:creationId xmlns:a16="http://schemas.microsoft.com/office/drawing/2014/main" id="{00000000-0008-0000-0500-0000AC010000}"/>
            </a:ext>
          </a:extLst>
        </xdr:cNvPr>
        <xdr:cNvCxnSpPr/>
      </xdr:nvCxnSpPr>
      <xdr:spPr bwMode="auto">
        <a:xfrm flipV="1">
          <a:off x="101060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12</xdr:row>
      <xdr:rowOff>34925</xdr:rowOff>
    </xdr:from>
    <xdr:to>
      <xdr:col>16</xdr:col>
      <xdr:colOff>9525</xdr:colOff>
      <xdr:row>13</xdr:row>
      <xdr:rowOff>0</xdr:rowOff>
    </xdr:to>
    <xdr:cxnSp macro="">
      <xdr:nvCxnSpPr>
        <xdr:cNvPr id="429" name="Straight Connector 428">
          <a:extLst>
            <a:ext uri="{FF2B5EF4-FFF2-40B4-BE49-F238E27FC236}">
              <a16:creationId xmlns:a16="http://schemas.microsoft.com/office/drawing/2014/main" id="{00000000-0008-0000-0500-0000AD010000}"/>
            </a:ext>
          </a:extLst>
        </xdr:cNvPr>
        <xdr:cNvCxnSpPr/>
      </xdr:nvCxnSpPr>
      <xdr:spPr bwMode="auto">
        <a:xfrm flipV="1">
          <a:off x="101060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14</xdr:row>
      <xdr:rowOff>34925</xdr:rowOff>
    </xdr:from>
    <xdr:to>
      <xdr:col>14</xdr:col>
      <xdr:colOff>9525</xdr:colOff>
      <xdr:row>15</xdr:row>
      <xdr:rowOff>0</xdr:rowOff>
    </xdr:to>
    <xdr:cxnSp macro="">
      <xdr:nvCxnSpPr>
        <xdr:cNvPr id="430" name="Straight Connector 429">
          <a:extLst>
            <a:ext uri="{FF2B5EF4-FFF2-40B4-BE49-F238E27FC236}">
              <a16:creationId xmlns:a16="http://schemas.microsoft.com/office/drawing/2014/main" id="{00000000-0008-0000-0500-0000AE010000}"/>
            </a:ext>
          </a:extLst>
        </xdr:cNvPr>
        <xdr:cNvCxnSpPr/>
      </xdr:nvCxnSpPr>
      <xdr:spPr bwMode="auto">
        <a:xfrm flipV="1">
          <a:off x="88868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14</xdr:row>
      <xdr:rowOff>34925</xdr:rowOff>
    </xdr:from>
    <xdr:to>
      <xdr:col>14</xdr:col>
      <xdr:colOff>9525</xdr:colOff>
      <xdr:row>15</xdr:row>
      <xdr:rowOff>0</xdr:rowOff>
    </xdr:to>
    <xdr:cxnSp macro="">
      <xdr:nvCxnSpPr>
        <xdr:cNvPr id="431" name="Straight Connector 430">
          <a:extLst>
            <a:ext uri="{FF2B5EF4-FFF2-40B4-BE49-F238E27FC236}">
              <a16:creationId xmlns:a16="http://schemas.microsoft.com/office/drawing/2014/main" id="{00000000-0008-0000-0500-0000AF010000}"/>
            </a:ext>
          </a:extLst>
        </xdr:cNvPr>
        <xdr:cNvCxnSpPr/>
      </xdr:nvCxnSpPr>
      <xdr:spPr bwMode="auto">
        <a:xfrm flipV="1">
          <a:off x="88868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14</xdr:row>
      <xdr:rowOff>34925</xdr:rowOff>
    </xdr:from>
    <xdr:to>
      <xdr:col>14</xdr:col>
      <xdr:colOff>9525</xdr:colOff>
      <xdr:row>15</xdr:row>
      <xdr:rowOff>0</xdr:rowOff>
    </xdr:to>
    <xdr:cxnSp macro="">
      <xdr:nvCxnSpPr>
        <xdr:cNvPr id="432" name="Straight Connector 431">
          <a:extLst>
            <a:ext uri="{FF2B5EF4-FFF2-40B4-BE49-F238E27FC236}">
              <a16:creationId xmlns:a16="http://schemas.microsoft.com/office/drawing/2014/main" id="{00000000-0008-0000-0500-0000B0010000}"/>
            </a:ext>
          </a:extLst>
        </xdr:cNvPr>
        <xdr:cNvCxnSpPr/>
      </xdr:nvCxnSpPr>
      <xdr:spPr bwMode="auto">
        <a:xfrm flipV="1">
          <a:off x="88868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14</xdr:row>
      <xdr:rowOff>34925</xdr:rowOff>
    </xdr:from>
    <xdr:to>
      <xdr:col>14</xdr:col>
      <xdr:colOff>9525</xdr:colOff>
      <xdr:row>15</xdr:row>
      <xdr:rowOff>0</xdr:rowOff>
    </xdr:to>
    <xdr:cxnSp macro="">
      <xdr:nvCxnSpPr>
        <xdr:cNvPr id="433" name="Straight Connector 432">
          <a:extLst>
            <a:ext uri="{FF2B5EF4-FFF2-40B4-BE49-F238E27FC236}">
              <a16:creationId xmlns:a16="http://schemas.microsoft.com/office/drawing/2014/main" id="{00000000-0008-0000-0500-0000B1010000}"/>
            </a:ext>
          </a:extLst>
        </xdr:cNvPr>
        <xdr:cNvCxnSpPr/>
      </xdr:nvCxnSpPr>
      <xdr:spPr bwMode="auto">
        <a:xfrm flipV="1">
          <a:off x="88868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434" name="Straight Connector 433">
          <a:extLst>
            <a:ext uri="{FF2B5EF4-FFF2-40B4-BE49-F238E27FC236}">
              <a16:creationId xmlns:a16="http://schemas.microsoft.com/office/drawing/2014/main" id="{00000000-0008-0000-0500-0000B20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435" name="Straight Connector 434">
          <a:extLst>
            <a:ext uri="{FF2B5EF4-FFF2-40B4-BE49-F238E27FC236}">
              <a16:creationId xmlns:a16="http://schemas.microsoft.com/office/drawing/2014/main" id="{00000000-0008-0000-0500-0000B30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436" name="Straight Connector 435">
          <a:extLst>
            <a:ext uri="{FF2B5EF4-FFF2-40B4-BE49-F238E27FC236}">
              <a16:creationId xmlns:a16="http://schemas.microsoft.com/office/drawing/2014/main" id="{00000000-0008-0000-0500-0000B40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437" name="Straight Connector 436">
          <a:extLst>
            <a:ext uri="{FF2B5EF4-FFF2-40B4-BE49-F238E27FC236}">
              <a16:creationId xmlns:a16="http://schemas.microsoft.com/office/drawing/2014/main" id="{00000000-0008-0000-0500-0000B50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16</xdr:row>
      <xdr:rowOff>34925</xdr:rowOff>
    </xdr:from>
    <xdr:to>
      <xdr:col>12</xdr:col>
      <xdr:colOff>9525</xdr:colOff>
      <xdr:row>17</xdr:row>
      <xdr:rowOff>0</xdr:rowOff>
    </xdr:to>
    <xdr:cxnSp macro="">
      <xdr:nvCxnSpPr>
        <xdr:cNvPr id="438" name="Straight Connector 437">
          <a:extLst>
            <a:ext uri="{FF2B5EF4-FFF2-40B4-BE49-F238E27FC236}">
              <a16:creationId xmlns:a16="http://schemas.microsoft.com/office/drawing/2014/main" id="{00000000-0008-0000-0500-0000B6010000}"/>
            </a:ext>
          </a:extLst>
        </xdr:cNvPr>
        <xdr:cNvCxnSpPr/>
      </xdr:nvCxnSpPr>
      <xdr:spPr bwMode="auto">
        <a:xfrm flipV="1">
          <a:off x="76676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439" name="Straight Connector 438">
          <a:extLst>
            <a:ext uri="{FF2B5EF4-FFF2-40B4-BE49-F238E27FC236}">
              <a16:creationId xmlns:a16="http://schemas.microsoft.com/office/drawing/2014/main" id="{00000000-0008-0000-0500-0000B70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440" name="Straight Connector 439">
          <a:extLst>
            <a:ext uri="{FF2B5EF4-FFF2-40B4-BE49-F238E27FC236}">
              <a16:creationId xmlns:a16="http://schemas.microsoft.com/office/drawing/2014/main" id="{00000000-0008-0000-0500-0000B80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441" name="Straight Connector 440">
          <a:extLst>
            <a:ext uri="{FF2B5EF4-FFF2-40B4-BE49-F238E27FC236}">
              <a16:creationId xmlns:a16="http://schemas.microsoft.com/office/drawing/2014/main" id="{00000000-0008-0000-0500-0000B90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442" name="Straight Connector 441">
          <a:extLst>
            <a:ext uri="{FF2B5EF4-FFF2-40B4-BE49-F238E27FC236}">
              <a16:creationId xmlns:a16="http://schemas.microsoft.com/office/drawing/2014/main" id="{00000000-0008-0000-0500-0000BA0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443" name="Straight Connector 442">
          <a:extLst>
            <a:ext uri="{FF2B5EF4-FFF2-40B4-BE49-F238E27FC236}">
              <a16:creationId xmlns:a16="http://schemas.microsoft.com/office/drawing/2014/main" id="{00000000-0008-0000-0500-0000BB0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18</xdr:row>
      <xdr:rowOff>34925</xdr:rowOff>
    </xdr:from>
    <xdr:to>
      <xdr:col>10</xdr:col>
      <xdr:colOff>9525</xdr:colOff>
      <xdr:row>19</xdr:row>
      <xdr:rowOff>0</xdr:rowOff>
    </xdr:to>
    <xdr:cxnSp macro="">
      <xdr:nvCxnSpPr>
        <xdr:cNvPr id="444" name="Straight Connector 443">
          <a:extLst>
            <a:ext uri="{FF2B5EF4-FFF2-40B4-BE49-F238E27FC236}">
              <a16:creationId xmlns:a16="http://schemas.microsoft.com/office/drawing/2014/main" id="{00000000-0008-0000-0500-0000BC010000}"/>
            </a:ext>
          </a:extLst>
        </xdr:cNvPr>
        <xdr:cNvCxnSpPr/>
      </xdr:nvCxnSpPr>
      <xdr:spPr bwMode="auto">
        <a:xfrm flipV="1">
          <a:off x="64484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445" name="Straight Connector 444">
          <a:extLst>
            <a:ext uri="{FF2B5EF4-FFF2-40B4-BE49-F238E27FC236}">
              <a16:creationId xmlns:a16="http://schemas.microsoft.com/office/drawing/2014/main" id="{00000000-0008-0000-0500-0000BD0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446" name="Straight Connector 445">
          <a:extLst>
            <a:ext uri="{FF2B5EF4-FFF2-40B4-BE49-F238E27FC236}">
              <a16:creationId xmlns:a16="http://schemas.microsoft.com/office/drawing/2014/main" id="{00000000-0008-0000-0500-0000BE0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447" name="Straight Connector 446">
          <a:extLst>
            <a:ext uri="{FF2B5EF4-FFF2-40B4-BE49-F238E27FC236}">
              <a16:creationId xmlns:a16="http://schemas.microsoft.com/office/drawing/2014/main" id="{00000000-0008-0000-0500-0000BF0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448" name="Straight Connector 447">
          <a:extLst>
            <a:ext uri="{FF2B5EF4-FFF2-40B4-BE49-F238E27FC236}">
              <a16:creationId xmlns:a16="http://schemas.microsoft.com/office/drawing/2014/main" id="{00000000-0008-0000-0500-0000C00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449" name="Straight Connector 448">
          <a:extLst>
            <a:ext uri="{FF2B5EF4-FFF2-40B4-BE49-F238E27FC236}">
              <a16:creationId xmlns:a16="http://schemas.microsoft.com/office/drawing/2014/main" id="{00000000-0008-0000-0500-0000C10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450" name="Straight Connector 449">
          <a:extLst>
            <a:ext uri="{FF2B5EF4-FFF2-40B4-BE49-F238E27FC236}">
              <a16:creationId xmlns:a16="http://schemas.microsoft.com/office/drawing/2014/main" id="{00000000-0008-0000-0500-0000C20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20</xdr:row>
      <xdr:rowOff>34925</xdr:rowOff>
    </xdr:from>
    <xdr:to>
      <xdr:col>8</xdr:col>
      <xdr:colOff>9525</xdr:colOff>
      <xdr:row>21</xdr:row>
      <xdr:rowOff>0</xdr:rowOff>
    </xdr:to>
    <xdr:cxnSp macro="">
      <xdr:nvCxnSpPr>
        <xdr:cNvPr id="451" name="Straight Connector 450">
          <a:extLst>
            <a:ext uri="{FF2B5EF4-FFF2-40B4-BE49-F238E27FC236}">
              <a16:creationId xmlns:a16="http://schemas.microsoft.com/office/drawing/2014/main" id="{00000000-0008-0000-0500-0000C3010000}"/>
            </a:ext>
          </a:extLst>
        </xdr:cNvPr>
        <xdr:cNvCxnSpPr/>
      </xdr:nvCxnSpPr>
      <xdr:spPr bwMode="auto">
        <a:xfrm flipV="1">
          <a:off x="52292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452" name="Straight Connector 451">
          <a:extLst>
            <a:ext uri="{FF2B5EF4-FFF2-40B4-BE49-F238E27FC236}">
              <a16:creationId xmlns:a16="http://schemas.microsoft.com/office/drawing/2014/main" id="{00000000-0008-0000-0500-0000C40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453" name="Straight Connector 452">
          <a:extLst>
            <a:ext uri="{FF2B5EF4-FFF2-40B4-BE49-F238E27FC236}">
              <a16:creationId xmlns:a16="http://schemas.microsoft.com/office/drawing/2014/main" id="{00000000-0008-0000-0500-0000C50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454" name="Straight Connector 453">
          <a:extLst>
            <a:ext uri="{FF2B5EF4-FFF2-40B4-BE49-F238E27FC236}">
              <a16:creationId xmlns:a16="http://schemas.microsoft.com/office/drawing/2014/main" id="{00000000-0008-0000-0500-0000C60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455" name="Straight Connector 454">
          <a:extLst>
            <a:ext uri="{FF2B5EF4-FFF2-40B4-BE49-F238E27FC236}">
              <a16:creationId xmlns:a16="http://schemas.microsoft.com/office/drawing/2014/main" id="{00000000-0008-0000-0500-0000C70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456" name="Straight Connector 455">
          <a:extLst>
            <a:ext uri="{FF2B5EF4-FFF2-40B4-BE49-F238E27FC236}">
              <a16:creationId xmlns:a16="http://schemas.microsoft.com/office/drawing/2014/main" id="{00000000-0008-0000-0500-0000C80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457" name="Straight Connector 456">
          <a:extLst>
            <a:ext uri="{FF2B5EF4-FFF2-40B4-BE49-F238E27FC236}">
              <a16:creationId xmlns:a16="http://schemas.microsoft.com/office/drawing/2014/main" id="{00000000-0008-0000-0500-0000C90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458" name="Straight Connector 457">
          <a:extLst>
            <a:ext uri="{FF2B5EF4-FFF2-40B4-BE49-F238E27FC236}">
              <a16:creationId xmlns:a16="http://schemas.microsoft.com/office/drawing/2014/main" id="{00000000-0008-0000-0500-0000CA0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22</xdr:row>
      <xdr:rowOff>34925</xdr:rowOff>
    </xdr:from>
    <xdr:to>
      <xdr:col>10</xdr:col>
      <xdr:colOff>9525</xdr:colOff>
      <xdr:row>23</xdr:row>
      <xdr:rowOff>0</xdr:rowOff>
    </xdr:to>
    <xdr:cxnSp macro="">
      <xdr:nvCxnSpPr>
        <xdr:cNvPr id="459" name="Straight Connector 458">
          <a:extLst>
            <a:ext uri="{FF2B5EF4-FFF2-40B4-BE49-F238E27FC236}">
              <a16:creationId xmlns:a16="http://schemas.microsoft.com/office/drawing/2014/main" id="{00000000-0008-0000-0500-0000CB010000}"/>
            </a:ext>
          </a:extLst>
        </xdr:cNvPr>
        <xdr:cNvCxnSpPr/>
      </xdr:nvCxnSpPr>
      <xdr:spPr bwMode="auto">
        <a:xfrm flipV="1">
          <a:off x="64484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460" name="Straight Connector 459">
          <a:extLst>
            <a:ext uri="{FF2B5EF4-FFF2-40B4-BE49-F238E27FC236}">
              <a16:creationId xmlns:a16="http://schemas.microsoft.com/office/drawing/2014/main" id="{00000000-0008-0000-0500-0000CC0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461" name="Straight Connector 460">
          <a:extLst>
            <a:ext uri="{FF2B5EF4-FFF2-40B4-BE49-F238E27FC236}">
              <a16:creationId xmlns:a16="http://schemas.microsoft.com/office/drawing/2014/main" id="{00000000-0008-0000-0500-0000CD0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462" name="Straight Connector 461">
          <a:extLst>
            <a:ext uri="{FF2B5EF4-FFF2-40B4-BE49-F238E27FC236}">
              <a16:creationId xmlns:a16="http://schemas.microsoft.com/office/drawing/2014/main" id="{00000000-0008-0000-0500-0000CE0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463" name="Straight Connector 462">
          <a:extLst>
            <a:ext uri="{FF2B5EF4-FFF2-40B4-BE49-F238E27FC236}">
              <a16:creationId xmlns:a16="http://schemas.microsoft.com/office/drawing/2014/main" id="{00000000-0008-0000-0500-0000CF0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464" name="Straight Connector 463">
          <a:extLst>
            <a:ext uri="{FF2B5EF4-FFF2-40B4-BE49-F238E27FC236}">
              <a16:creationId xmlns:a16="http://schemas.microsoft.com/office/drawing/2014/main" id="{00000000-0008-0000-0500-0000D00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465" name="Straight Connector 464">
          <a:extLst>
            <a:ext uri="{FF2B5EF4-FFF2-40B4-BE49-F238E27FC236}">
              <a16:creationId xmlns:a16="http://schemas.microsoft.com/office/drawing/2014/main" id="{00000000-0008-0000-0500-0000D10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466" name="Straight Connector 465">
          <a:extLst>
            <a:ext uri="{FF2B5EF4-FFF2-40B4-BE49-F238E27FC236}">
              <a16:creationId xmlns:a16="http://schemas.microsoft.com/office/drawing/2014/main" id="{00000000-0008-0000-0500-0000D20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467" name="Straight Connector 466">
          <a:extLst>
            <a:ext uri="{FF2B5EF4-FFF2-40B4-BE49-F238E27FC236}">
              <a16:creationId xmlns:a16="http://schemas.microsoft.com/office/drawing/2014/main" id="{00000000-0008-0000-0500-0000D30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468" name="Straight Connector 467">
          <a:extLst>
            <a:ext uri="{FF2B5EF4-FFF2-40B4-BE49-F238E27FC236}">
              <a16:creationId xmlns:a16="http://schemas.microsoft.com/office/drawing/2014/main" id="{00000000-0008-0000-0500-0000D401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469" name="Straight Connector 468">
          <a:extLst>
            <a:ext uri="{FF2B5EF4-FFF2-40B4-BE49-F238E27FC236}">
              <a16:creationId xmlns:a16="http://schemas.microsoft.com/office/drawing/2014/main" id="{00000000-0008-0000-0500-0000D50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470" name="Straight Connector 469">
          <a:extLst>
            <a:ext uri="{FF2B5EF4-FFF2-40B4-BE49-F238E27FC236}">
              <a16:creationId xmlns:a16="http://schemas.microsoft.com/office/drawing/2014/main" id="{00000000-0008-0000-0500-0000D60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471" name="Straight Connector 470">
          <a:extLst>
            <a:ext uri="{FF2B5EF4-FFF2-40B4-BE49-F238E27FC236}">
              <a16:creationId xmlns:a16="http://schemas.microsoft.com/office/drawing/2014/main" id="{00000000-0008-0000-0500-0000D70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472" name="Straight Connector 471">
          <a:extLst>
            <a:ext uri="{FF2B5EF4-FFF2-40B4-BE49-F238E27FC236}">
              <a16:creationId xmlns:a16="http://schemas.microsoft.com/office/drawing/2014/main" id="{00000000-0008-0000-0500-0000D80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473" name="Straight Connector 472">
          <a:extLst>
            <a:ext uri="{FF2B5EF4-FFF2-40B4-BE49-F238E27FC236}">
              <a16:creationId xmlns:a16="http://schemas.microsoft.com/office/drawing/2014/main" id="{00000000-0008-0000-0500-0000D90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474" name="Straight Connector 473">
          <a:extLst>
            <a:ext uri="{FF2B5EF4-FFF2-40B4-BE49-F238E27FC236}">
              <a16:creationId xmlns:a16="http://schemas.microsoft.com/office/drawing/2014/main" id="{00000000-0008-0000-0500-0000DA0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475" name="Straight Connector 474">
          <a:extLst>
            <a:ext uri="{FF2B5EF4-FFF2-40B4-BE49-F238E27FC236}">
              <a16:creationId xmlns:a16="http://schemas.microsoft.com/office/drawing/2014/main" id="{00000000-0008-0000-0500-0000DB0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476" name="Straight Connector 475">
          <a:extLst>
            <a:ext uri="{FF2B5EF4-FFF2-40B4-BE49-F238E27FC236}">
              <a16:creationId xmlns:a16="http://schemas.microsoft.com/office/drawing/2014/main" id="{00000000-0008-0000-0500-0000DC0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477" name="Straight Connector 476">
          <a:extLst>
            <a:ext uri="{FF2B5EF4-FFF2-40B4-BE49-F238E27FC236}">
              <a16:creationId xmlns:a16="http://schemas.microsoft.com/office/drawing/2014/main" id="{00000000-0008-0000-0500-0000DD0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26</xdr:row>
      <xdr:rowOff>34925</xdr:rowOff>
    </xdr:from>
    <xdr:to>
      <xdr:col>14</xdr:col>
      <xdr:colOff>9525</xdr:colOff>
      <xdr:row>27</xdr:row>
      <xdr:rowOff>0</xdr:rowOff>
    </xdr:to>
    <xdr:cxnSp macro="">
      <xdr:nvCxnSpPr>
        <xdr:cNvPr id="478" name="Straight Connector 477">
          <a:extLst>
            <a:ext uri="{FF2B5EF4-FFF2-40B4-BE49-F238E27FC236}">
              <a16:creationId xmlns:a16="http://schemas.microsoft.com/office/drawing/2014/main" id="{00000000-0008-0000-0500-0000DE010000}"/>
            </a:ext>
          </a:extLst>
        </xdr:cNvPr>
        <xdr:cNvCxnSpPr/>
      </xdr:nvCxnSpPr>
      <xdr:spPr bwMode="auto">
        <a:xfrm flipV="1">
          <a:off x="88868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79" name="Straight Connector 478">
          <a:extLst>
            <a:ext uri="{FF2B5EF4-FFF2-40B4-BE49-F238E27FC236}">
              <a16:creationId xmlns:a16="http://schemas.microsoft.com/office/drawing/2014/main" id="{00000000-0008-0000-0500-0000DF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80" name="Straight Connector 479">
          <a:extLst>
            <a:ext uri="{FF2B5EF4-FFF2-40B4-BE49-F238E27FC236}">
              <a16:creationId xmlns:a16="http://schemas.microsoft.com/office/drawing/2014/main" id="{00000000-0008-0000-0500-0000E0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81" name="Straight Connector 480">
          <a:extLst>
            <a:ext uri="{FF2B5EF4-FFF2-40B4-BE49-F238E27FC236}">
              <a16:creationId xmlns:a16="http://schemas.microsoft.com/office/drawing/2014/main" id="{00000000-0008-0000-0500-0000E1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82" name="Straight Connector 481">
          <a:extLst>
            <a:ext uri="{FF2B5EF4-FFF2-40B4-BE49-F238E27FC236}">
              <a16:creationId xmlns:a16="http://schemas.microsoft.com/office/drawing/2014/main" id="{00000000-0008-0000-0500-0000E2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83" name="Straight Connector 482">
          <a:extLst>
            <a:ext uri="{FF2B5EF4-FFF2-40B4-BE49-F238E27FC236}">
              <a16:creationId xmlns:a16="http://schemas.microsoft.com/office/drawing/2014/main" id="{00000000-0008-0000-0500-0000E3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84" name="Straight Connector 483">
          <a:extLst>
            <a:ext uri="{FF2B5EF4-FFF2-40B4-BE49-F238E27FC236}">
              <a16:creationId xmlns:a16="http://schemas.microsoft.com/office/drawing/2014/main" id="{00000000-0008-0000-0500-0000E4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85" name="Straight Connector 484">
          <a:extLst>
            <a:ext uri="{FF2B5EF4-FFF2-40B4-BE49-F238E27FC236}">
              <a16:creationId xmlns:a16="http://schemas.microsoft.com/office/drawing/2014/main" id="{00000000-0008-0000-0500-0000E5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86" name="Straight Connector 485">
          <a:extLst>
            <a:ext uri="{FF2B5EF4-FFF2-40B4-BE49-F238E27FC236}">
              <a16:creationId xmlns:a16="http://schemas.microsoft.com/office/drawing/2014/main" id="{00000000-0008-0000-0500-0000E6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87" name="Straight Connector 486">
          <a:extLst>
            <a:ext uri="{FF2B5EF4-FFF2-40B4-BE49-F238E27FC236}">
              <a16:creationId xmlns:a16="http://schemas.microsoft.com/office/drawing/2014/main" id="{00000000-0008-0000-0500-0000E7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88" name="Straight Connector 487">
          <a:extLst>
            <a:ext uri="{FF2B5EF4-FFF2-40B4-BE49-F238E27FC236}">
              <a16:creationId xmlns:a16="http://schemas.microsoft.com/office/drawing/2014/main" id="{00000000-0008-0000-0500-0000E8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489" name="Straight Connector 488">
          <a:extLst>
            <a:ext uri="{FF2B5EF4-FFF2-40B4-BE49-F238E27FC236}">
              <a16:creationId xmlns:a16="http://schemas.microsoft.com/office/drawing/2014/main" id="{00000000-0008-0000-0500-0000E901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490" name="Straight Connector 489">
          <a:extLst>
            <a:ext uri="{FF2B5EF4-FFF2-40B4-BE49-F238E27FC236}">
              <a16:creationId xmlns:a16="http://schemas.microsoft.com/office/drawing/2014/main" id="{00000000-0008-0000-0500-0000EA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491" name="Straight Connector 490">
          <a:extLst>
            <a:ext uri="{FF2B5EF4-FFF2-40B4-BE49-F238E27FC236}">
              <a16:creationId xmlns:a16="http://schemas.microsoft.com/office/drawing/2014/main" id="{00000000-0008-0000-0500-0000EB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492" name="Straight Connector 491">
          <a:extLst>
            <a:ext uri="{FF2B5EF4-FFF2-40B4-BE49-F238E27FC236}">
              <a16:creationId xmlns:a16="http://schemas.microsoft.com/office/drawing/2014/main" id="{00000000-0008-0000-0500-0000EC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493" name="Straight Connector 492">
          <a:extLst>
            <a:ext uri="{FF2B5EF4-FFF2-40B4-BE49-F238E27FC236}">
              <a16:creationId xmlns:a16="http://schemas.microsoft.com/office/drawing/2014/main" id="{00000000-0008-0000-0500-0000ED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494" name="Straight Connector 493">
          <a:extLst>
            <a:ext uri="{FF2B5EF4-FFF2-40B4-BE49-F238E27FC236}">
              <a16:creationId xmlns:a16="http://schemas.microsoft.com/office/drawing/2014/main" id="{00000000-0008-0000-0500-0000EE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495" name="Straight Connector 494">
          <a:extLst>
            <a:ext uri="{FF2B5EF4-FFF2-40B4-BE49-F238E27FC236}">
              <a16:creationId xmlns:a16="http://schemas.microsoft.com/office/drawing/2014/main" id="{00000000-0008-0000-0500-0000EF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496" name="Straight Connector 495">
          <a:extLst>
            <a:ext uri="{FF2B5EF4-FFF2-40B4-BE49-F238E27FC236}">
              <a16:creationId xmlns:a16="http://schemas.microsoft.com/office/drawing/2014/main" id="{00000000-0008-0000-0500-0000F0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497" name="Straight Connector 496">
          <a:extLst>
            <a:ext uri="{FF2B5EF4-FFF2-40B4-BE49-F238E27FC236}">
              <a16:creationId xmlns:a16="http://schemas.microsoft.com/office/drawing/2014/main" id="{00000000-0008-0000-0500-0000F1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498" name="Straight Connector 497">
          <a:extLst>
            <a:ext uri="{FF2B5EF4-FFF2-40B4-BE49-F238E27FC236}">
              <a16:creationId xmlns:a16="http://schemas.microsoft.com/office/drawing/2014/main" id="{00000000-0008-0000-0500-0000F2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499" name="Straight Connector 498">
          <a:extLst>
            <a:ext uri="{FF2B5EF4-FFF2-40B4-BE49-F238E27FC236}">
              <a16:creationId xmlns:a16="http://schemas.microsoft.com/office/drawing/2014/main" id="{00000000-0008-0000-0500-0000F3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500" name="Straight Connector 499">
          <a:extLst>
            <a:ext uri="{FF2B5EF4-FFF2-40B4-BE49-F238E27FC236}">
              <a16:creationId xmlns:a16="http://schemas.microsoft.com/office/drawing/2014/main" id="{00000000-0008-0000-0500-0000F4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30</xdr:row>
      <xdr:rowOff>34925</xdr:rowOff>
    </xdr:from>
    <xdr:to>
      <xdr:col>18</xdr:col>
      <xdr:colOff>9525</xdr:colOff>
      <xdr:row>31</xdr:row>
      <xdr:rowOff>0</xdr:rowOff>
    </xdr:to>
    <xdr:cxnSp macro="">
      <xdr:nvCxnSpPr>
        <xdr:cNvPr id="501" name="Straight Connector 500">
          <a:extLst>
            <a:ext uri="{FF2B5EF4-FFF2-40B4-BE49-F238E27FC236}">
              <a16:creationId xmlns:a16="http://schemas.microsoft.com/office/drawing/2014/main" id="{00000000-0008-0000-0500-0000F5010000}"/>
            </a:ext>
          </a:extLst>
        </xdr:cNvPr>
        <xdr:cNvCxnSpPr/>
      </xdr:nvCxnSpPr>
      <xdr:spPr bwMode="auto">
        <a:xfrm flipV="1">
          <a:off x="113252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02" name="Straight Connector 501">
          <a:extLst>
            <a:ext uri="{FF2B5EF4-FFF2-40B4-BE49-F238E27FC236}">
              <a16:creationId xmlns:a16="http://schemas.microsoft.com/office/drawing/2014/main" id="{00000000-0008-0000-0500-0000F60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03" name="Straight Connector 502">
          <a:extLst>
            <a:ext uri="{FF2B5EF4-FFF2-40B4-BE49-F238E27FC236}">
              <a16:creationId xmlns:a16="http://schemas.microsoft.com/office/drawing/2014/main" id="{00000000-0008-0000-0500-0000F70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04" name="Straight Connector 503">
          <a:extLst>
            <a:ext uri="{FF2B5EF4-FFF2-40B4-BE49-F238E27FC236}">
              <a16:creationId xmlns:a16="http://schemas.microsoft.com/office/drawing/2014/main" id="{00000000-0008-0000-0500-0000F80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05" name="Straight Connector 504">
          <a:extLst>
            <a:ext uri="{FF2B5EF4-FFF2-40B4-BE49-F238E27FC236}">
              <a16:creationId xmlns:a16="http://schemas.microsoft.com/office/drawing/2014/main" id="{00000000-0008-0000-0500-0000F90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06" name="Straight Connector 505">
          <a:extLst>
            <a:ext uri="{FF2B5EF4-FFF2-40B4-BE49-F238E27FC236}">
              <a16:creationId xmlns:a16="http://schemas.microsoft.com/office/drawing/2014/main" id="{00000000-0008-0000-0500-0000FA0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07" name="Straight Connector 506">
          <a:extLst>
            <a:ext uri="{FF2B5EF4-FFF2-40B4-BE49-F238E27FC236}">
              <a16:creationId xmlns:a16="http://schemas.microsoft.com/office/drawing/2014/main" id="{00000000-0008-0000-0500-0000FB0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08" name="Straight Connector 507">
          <a:extLst>
            <a:ext uri="{FF2B5EF4-FFF2-40B4-BE49-F238E27FC236}">
              <a16:creationId xmlns:a16="http://schemas.microsoft.com/office/drawing/2014/main" id="{00000000-0008-0000-0500-0000FC0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09" name="Straight Connector 508">
          <a:extLst>
            <a:ext uri="{FF2B5EF4-FFF2-40B4-BE49-F238E27FC236}">
              <a16:creationId xmlns:a16="http://schemas.microsoft.com/office/drawing/2014/main" id="{00000000-0008-0000-0500-0000FD0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10" name="Straight Connector 509">
          <a:extLst>
            <a:ext uri="{FF2B5EF4-FFF2-40B4-BE49-F238E27FC236}">
              <a16:creationId xmlns:a16="http://schemas.microsoft.com/office/drawing/2014/main" id="{00000000-0008-0000-0500-0000FE0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11" name="Straight Connector 510">
          <a:extLst>
            <a:ext uri="{FF2B5EF4-FFF2-40B4-BE49-F238E27FC236}">
              <a16:creationId xmlns:a16="http://schemas.microsoft.com/office/drawing/2014/main" id="{00000000-0008-0000-0500-0000FF01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12" name="Straight Connector 511">
          <a:extLst>
            <a:ext uri="{FF2B5EF4-FFF2-40B4-BE49-F238E27FC236}">
              <a16:creationId xmlns:a16="http://schemas.microsoft.com/office/drawing/2014/main" id="{00000000-0008-0000-0500-0000000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13" name="Straight Connector 512">
          <a:extLst>
            <a:ext uri="{FF2B5EF4-FFF2-40B4-BE49-F238E27FC236}">
              <a16:creationId xmlns:a16="http://schemas.microsoft.com/office/drawing/2014/main" id="{00000000-0008-0000-0500-0000010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514" name="Straight Connector 513">
          <a:extLst>
            <a:ext uri="{FF2B5EF4-FFF2-40B4-BE49-F238E27FC236}">
              <a16:creationId xmlns:a16="http://schemas.microsoft.com/office/drawing/2014/main" id="{00000000-0008-0000-0500-00000202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15" name="Straight Connector 514">
          <a:extLst>
            <a:ext uri="{FF2B5EF4-FFF2-40B4-BE49-F238E27FC236}">
              <a16:creationId xmlns:a16="http://schemas.microsoft.com/office/drawing/2014/main" id="{00000000-0008-0000-0500-000003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16" name="Straight Connector 515">
          <a:extLst>
            <a:ext uri="{FF2B5EF4-FFF2-40B4-BE49-F238E27FC236}">
              <a16:creationId xmlns:a16="http://schemas.microsoft.com/office/drawing/2014/main" id="{00000000-0008-0000-0500-000004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17" name="Straight Connector 516">
          <a:extLst>
            <a:ext uri="{FF2B5EF4-FFF2-40B4-BE49-F238E27FC236}">
              <a16:creationId xmlns:a16="http://schemas.microsoft.com/office/drawing/2014/main" id="{00000000-0008-0000-0500-000005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18" name="Straight Connector 517">
          <a:extLst>
            <a:ext uri="{FF2B5EF4-FFF2-40B4-BE49-F238E27FC236}">
              <a16:creationId xmlns:a16="http://schemas.microsoft.com/office/drawing/2014/main" id="{00000000-0008-0000-0500-000006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19" name="Straight Connector 518">
          <a:extLst>
            <a:ext uri="{FF2B5EF4-FFF2-40B4-BE49-F238E27FC236}">
              <a16:creationId xmlns:a16="http://schemas.microsoft.com/office/drawing/2014/main" id="{00000000-0008-0000-0500-000007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20" name="Straight Connector 519">
          <a:extLst>
            <a:ext uri="{FF2B5EF4-FFF2-40B4-BE49-F238E27FC236}">
              <a16:creationId xmlns:a16="http://schemas.microsoft.com/office/drawing/2014/main" id="{00000000-0008-0000-0500-000008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21" name="Straight Connector 520">
          <a:extLst>
            <a:ext uri="{FF2B5EF4-FFF2-40B4-BE49-F238E27FC236}">
              <a16:creationId xmlns:a16="http://schemas.microsoft.com/office/drawing/2014/main" id="{00000000-0008-0000-0500-000009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22" name="Straight Connector 521">
          <a:extLst>
            <a:ext uri="{FF2B5EF4-FFF2-40B4-BE49-F238E27FC236}">
              <a16:creationId xmlns:a16="http://schemas.microsoft.com/office/drawing/2014/main" id="{00000000-0008-0000-0500-00000A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23" name="Straight Connector 522">
          <a:extLst>
            <a:ext uri="{FF2B5EF4-FFF2-40B4-BE49-F238E27FC236}">
              <a16:creationId xmlns:a16="http://schemas.microsoft.com/office/drawing/2014/main" id="{00000000-0008-0000-0500-00000B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24" name="Straight Connector 523">
          <a:extLst>
            <a:ext uri="{FF2B5EF4-FFF2-40B4-BE49-F238E27FC236}">
              <a16:creationId xmlns:a16="http://schemas.microsoft.com/office/drawing/2014/main" id="{00000000-0008-0000-0500-00000C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25" name="Straight Connector 524">
          <a:extLst>
            <a:ext uri="{FF2B5EF4-FFF2-40B4-BE49-F238E27FC236}">
              <a16:creationId xmlns:a16="http://schemas.microsoft.com/office/drawing/2014/main" id="{00000000-0008-0000-0500-00000D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26" name="Straight Connector 525">
          <a:extLst>
            <a:ext uri="{FF2B5EF4-FFF2-40B4-BE49-F238E27FC236}">
              <a16:creationId xmlns:a16="http://schemas.microsoft.com/office/drawing/2014/main" id="{00000000-0008-0000-0500-00000E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27" name="Straight Connector 526">
          <a:extLst>
            <a:ext uri="{FF2B5EF4-FFF2-40B4-BE49-F238E27FC236}">
              <a16:creationId xmlns:a16="http://schemas.microsoft.com/office/drawing/2014/main" id="{00000000-0008-0000-0500-00000F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528" name="Straight Connector 527">
          <a:extLst>
            <a:ext uri="{FF2B5EF4-FFF2-40B4-BE49-F238E27FC236}">
              <a16:creationId xmlns:a16="http://schemas.microsoft.com/office/drawing/2014/main" id="{00000000-0008-0000-0500-00001002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29" name="Straight Connector 528">
          <a:extLst>
            <a:ext uri="{FF2B5EF4-FFF2-40B4-BE49-F238E27FC236}">
              <a16:creationId xmlns:a16="http://schemas.microsoft.com/office/drawing/2014/main" id="{00000000-0008-0000-0500-000011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30" name="Straight Connector 529">
          <a:extLst>
            <a:ext uri="{FF2B5EF4-FFF2-40B4-BE49-F238E27FC236}">
              <a16:creationId xmlns:a16="http://schemas.microsoft.com/office/drawing/2014/main" id="{00000000-0008-0000-0500-000012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31" name="Straight Connector 530">
          <a:extLst>
            <a:ext uri="{FF2B5EF4-FFF2-40B4-BE49-F238E27FC236}">
              <a16:creationId xmlns:a16="http://schemas.microsoft.com/office/drawing/2014/main" id="{00000000-0008-0000-0500-000013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32" name="Straight Connector 531">
          <a:extLst>
            <a:ext uri="{FF2B5EF4-FFF2-40B4-BE49-F238E27FC236}">
              <a16:creationId xmlns:a16="http://schemas.microsoft.com/office/drawing/2014/main" id="{00000000-0008-0000-0500-000014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33" name="Straight Connector 532">
          <a:extLst>
            <a:ext uri="{FF2B5EF4-FFF2-40B4-BE49-F238E27FC236}">
              <a16:creationId xmlns:a16="http://schemas.microsoft.com/office/drawing/2014/main" id="{00000000-0008-0000-0500-000015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34" name="Straight Connector 533">
          <a:extLst>
            <a:ext uri="{FF2B5EF4-FFF2-40B4-BE49-F238E27FC236}">
              <a16:creationId xmlns:a16="http://schemas.microsoft.com/office/drawing/2014/main" id="{00000000-0008-0000-0500-000016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35" name="Straight Connector 534">
          <a:extLst>
            <a:ext uri="{FF2B5EF4-FFF2-40B4-BE49-F238E27FC236}">
              <a16:creationId xmlns:a16="http://schemas.microsoft.com/office/drawing/2014/main" id="{00000000-0008-0000-0500-000017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36" name="Straight Connector 535">
          <a:extLst>
            <a:ext uri="{FF2B5EF4-FFF2-40B4-BE49-F238E27FC236}">
              <a16:creationId xmlns:a16="http://schemas.microsoft.com/office/drawing/2014/main" id="{00000000-0008-0000-0500-000018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37" name="Straight Connector 536">
          <a:extLst>
            <a:ext uri="{FF2B5EF4-FFF2-40B4-BE49-F238E27FC236}">
              <a16:creationId xmlns:a16="http://schemas.microsoft.com/office/drawing/2014/main" id="{00000000-0008-0000-0500-000019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38" name="Straight Connector 537">
          <a:extLst>
            <a:ext uri="{FF2B5EF4-FFF2-40B4-BE49-F238E27FC236}">
              <a16:creationId xmlns:a16="http://schemas.microsoft.com/office/drawing/2014/main" id="{00000000-0008-0000-0500-00001A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39" name="Straight Connector 538">
          <a:extLst>
            <a:ext uri="{FF2B5EF4-FFF2-40B4-BE49-F238E27FC236}">
              <a16:creationId xmlns:a16="http://schemas.microsoft.com/office/drawing/2014/main" id="{00000000-0008-0000-0500-00001B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40" name="Straight Connector 539">
          <a:extLst>
            <a:ext uri="{FF2B5EF4-FFF2-40B4-BE49-F238E27FC236}">
              <a16:creationId xmlns:a16="http://schemas.microsoft.com/office/drawing/2014/main" id="{00000000-0008-0000-0500-00001C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41" name="Straight Connector 540">
          <a:extLst>
            <a:ext uri="{FF2B5EF4-FFF2-40B4-BE49-F238E27FC236}">
              <a16:creationId xmlns:a16="http://schemas.microsoft.com/office/drawing/2014/main" id="{00000000-0008-0000-0500-00001D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36</xdr:row>
      <xdr:rowOff>34925</xdr:rowOff>
    </xdr:from>
    <xdr:to>
      <xdr:col>24</xdr:col>
      <xdr:colOff>9525</xdr:colOff>
      <xdr:row>37</xdr:row>
      <xdr:rowOff>0</xdr:rowOff>
    </xdr:to>
    <xdr:cxnSp macro="">
      <xdr:nvCxnSpPr>
        <xdr:cNvPr id="542" name="Straight Connector 541">
          <a:extLst>
            <a:ext uri="{FF2B5EF4-FFF2-40B4-BE49-F238E27FC236}">
              <a16:creationId xmlns:a16="http://schemas.microsoft.com/office/drawing/2014/main" id="{00000000-0008-0000-0500-00001E020000}"/>
            </a:ext>
          </a:extLst>
        </xdr:cNvPr>
        <xdr:cNvCxnSpPr/>
      </xdr:nvCxnSpPr>
      <xdr:spPr bwMode="auto">
        <a:xfrm flipV="1">
          <a:off x="149828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543" name="Straight Connector 542">
          <a:extLst>
            <a:ext uri="{FF2B5EF4-FFF2-40B4-BE49-F238E27FC236}">
              <a16:creationId xmlns:a16="http://schemas.microsoft.com/office/drawing/2014/main" id="{00000000-0008-0000-0500-00001F020000}"/>
            </a:ext>
          </a:extLst>
        </xdr:cNvPr>
        <xdr:cNvCxnSpPr/>
      </xdr:nvCxnSpPr>
      <xdr:spPr bwMode="auto">
        <a:xfrm flipV="1">
          <a:off x="76676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544" name="Straight Connector 543">
          <a:extLst>
            <a:ext uri="{FF2B5EF4-FFF2-40B4-BE49-F238E27FC236}">
              <a16:creationId xmlns:a16="http://schemas.microsoft.com/office/drawing/2014/main" id="{00000000-0008-0000-0500-000020020000}"/>
            </a:ext>
          </a:extLst>
        </xdr:cNvPr>
        <xdr:cNvCxnSpPr/>
      </xdr:nvCxnSpPr>
      <xdr:spPr bwMode="auto">
        <a:xfrm flipV="1">
          <a:off x="76676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545" name="Straight Connector 544">
          <a:extLst>
            <a:ext uri="{FF2B5EF4-FFF2-40B4-BE49-F238E27FC236}">
              <a16:creationId xmlns:a16="http://schemas.microsoft.com/office/drawing/2014/main" id="{00000000-0008-0000-0500-000021020000}"/>
            </a:ext>
          </a:extLst>
        </xdr:cNvPr>
        <xdr:cNvCxnSpPr/>
      </xdr:nvCxnSpPr>
      <xdr:spPr bwMode="auto">
        <a:xfrm flipV="1">
          <a:off x="76676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546" name="Straight Connector 545">
          <a:extLst>
            <a:ext uri="{FF2B5EF4-FFF2-40B4-BE49-F238E27FC236}">
              <a16:creationId xmlns:a16="http://schemas.microsoft.com/office/drawing/2014/main" id="{00000000-0008-0000-0500-000022020000}"/>
            </a:ext>
          </a:extLst>
        </xdr:cNvPr>
        <xdr:cNvCxnSpPr/>
      </xdr:nvCxnSpPr>
      <xdr:spPr bwMode="auto">
        <a:xfrm flipV="1">
          <a:off x="76676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547" name="Straight Connector 546">
          <a:extLst>
            <a:ext uri="{FF2B5EF4-FFF2-40B4-BE49-F238E27FC236}">
              <a16:creationId xmlns:a16="http://schemas.microsoft.com/office/drawing/2014/main" id="{00000000-0008-0000-0500-000023020000}"/>
            </a:ext>
          </a:extLst>
        </xdr:cNvPr>
        <xdr:cNvCxnSpPr/>
      </xdr:nvCxnSpPr>
      <xdr:spPr bwMode="auto">
        <a:xfrm flipV="1">
          <a:off x="76676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548" name="Straight Connector 547">
          <a:extLst>
            <a:ext uri="{FF2B5EF4-FFF2-40B4-BE49-F238E27FC236}">
              <a16:creationId xmlns:a16="http://schemas.microsoft.com/office/drawing/2014/main" id="{00000000-0008-0000-0500-000024020000}"/>
            </a:ext>
          </a:extLst>
        </xdr:cNvPr>
        <xdr:cNvCxnSpPr/>
      </xdr:nvCxnSpPr>
      <xdr:spPr bwMode="auto">
        <a:xfrm flipV="1">
          <a:off x="76676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549" name="Straight Connector 548">
          <a:extLst>
            <a:ext uri="{FF2B5EF4-FFF2-40B4-BE49-F238E27FC236}">
              <a16:creationId xmlns:a16="http://schemas.microsoft.com/office/drawing/2014/main" id="{00000000-0008-0000-0500-000025020000}"/>
            </a:ext>
          </a:extLst>
        </xdr:cNvPr>
        <xdr:cNvCxnSpPr/>
      </xdr:nvCxnSpPr>
      <xdr:spPr bwMode="auto">
        <a:xfrm flipV="1">
          <a:off x="76676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550" name="Straight Connector 549">
          <a:extLst>
            <a:ext uri="{FF2B5EF4-FFF2-40B4-BE49-F238E27FC236}">
              <a16:creationId xmlns:a16="http://schemas.microsoft.com/office/drawing/2014/main" id="{00000000-0008-0000-0500-000026020000}"/>
            </a:ext>
          </a:extLst>
        </xdr:cNvPr>
        <xdr:cNvCxnSpPr/>
      </xdr:nvCxnSpPr>
      <xdr:spPr bwMode="auto">
        <a:xfrm flipV="1">
          <a:off x="76676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20</xdr:row>
      <xdr:rowOff>34925</xdr:rowOff>
    </xdr:from>
    <xdr:to>
      <xdr:col>12</xdr:col>
      <xdr:colOff>9525</xdr:colOff>
      <xdr:row>21</xdr:row>
      <xdr:rowOff>0</xdr:rowOff>
    </xdr:to>
    <xdr:cxnSp macro="">
      <xdr:nvCxnSpPr>
        <xdr:cNvPr id="551" name="Straight Connector 550">
          <a:extLst>
            <a:ext uri="{FF2B5EF4-FFF2-40B4-BE49-F238E27FC236}">
              <a16:creationId xmlns:a16="http://schemas.microsoft.com/office/drawing/2014/main" id="{00000000-0008-0000-0500-000027020000}"/>
            </a:ext>
          </a:extLst>
        </xdr:cNvPr>
        <xdr:cNvCxnSpPr/>
      </xdr:nvCxnSpPr>
      <xdr:spPr bwMode="auto">
        <a:xfrm flipV="1">
          <a:off x="76676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552" name="Straight Connector 551">
          <a:extLst>
            <a:ext uri="{FF2B5EF4-FFF2-40B4-BE49-F238E27FC236}">
              <a16:creationId xmlns:a16="http://schemas.microsoft.com/office/drawing/2014/main" id="{00000000-0008-0000-0500-000028020000}"/>
            </a:ext>
          </a:extLst>
        </xdr:cNvPr>
        <xdr:cNvCxnSpPr/>
      </xdr:nvCxnSpPr>
      <xdr:spPr bwMode="auto">
        <a:xfrm flipV="1">
          <a:off x="88868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553" name="Straight Connector 552">
          <a:extLst>
            <a:ext uri="{FF2B5EF4-FFF2-40B4-BE49-F238E27FC236}">
              <a16:creationId xmlns:a16="http://schemas.microsoft.com/office/drawing/2014/main" id="{00000000-0008-0000-0500-000029020000}"/>
            </a:ext>
          </a:extLst>
        </xdr:cNvPr>
        <xdr:cNvCxnSpPr/>
      </xdr:nvCxnSpPr>
      <xdr:spPr bwMode="auto">
        <a:xfrm flipV="1">
          <a:off x="88868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554" name="Straight Connector 553">
          <a:extLst>
            <a:ext uri="{FF2B5EF4-FFF2-40B4-BE49-F238E27FC236}">
              <a16:creationId xmlns:a16="http://schemas.microsoft.com/office/drawing/2014/main" id="{00000000-0008-0000-0500-00002A020000}"/>
            </a:ext>
          </a:extLst>
        </xdr:cNvPr>
        <xdr:cNvCxnSpPr/>
      </xdr:nvCxnSpPr>
      <xdr:spPr bwMode="auto">
        <a:xfrm flipV="1">
          <a:off x="88868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555" name="Straight Connector 554">
          <a:extLst>
            <a:ext uri="{FF2B5EF4-FFF2-40B4-BE49-F238E27FC236}">
              <a16:creationId xmlns:a16="http://schemas.microsoft.com/office/drawing/2014/main" id="{00000000-0008-0000-0500-00002B020000}"/>
            </a:ext>
          </a:extLst>
        </xdr:cNvPr>
        <xdr:cNvCxnSpPr/>
      </xdr:nvCxnSpPr>
      <xdr:spPr bwMode="auto">
        <a:xfrm flipV="1">
          <a:off x="88868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556" name="Straight Connector 555">
          <a:extLst>
            <a:ext uri="{FF2B5EF4-FFF2-40B4-BE49-F238E27FC236}">
              <a16:creationId xmlns:a16="http://schemas.microsoft.com/office/drawing/2014/main" id="{00000000-0008-0000-0500-00002C020000}"/>
            </a:ext>
          </a:extLst>
        </xdr:cNvPr>
        <xdr:cNvCxnSpPr/>
      </xdr:nvCxnSpPr>
      <xdr:spPr bwMode="auto">
        <a:xfrm flipV="1">
          <a:off x="88868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557" name="Straight Connector 556">
          <a:extLst>
            <a:ext uri="{FF2B5EF4-FFF2-40B4-BE49-F238E27FC236}">
              <a16:creationId xmlns:a16="http://schemas.microsoft.com/office/drawing/2014/main" id="{00000000-0008-0000-0500-00002D020000}"/>
            </a:ext>
          </a:extLst>
        </xdr:cNvPr>
        <xdr:cNvCxnSpPr/>
      </xdr:nvCxnSpPr>
      <xdr:spPr bwMode="auto">
        <a:xfrm flipV="1">
          <a:off x="88868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558" name="Straight Connector 557">
          <a:extLst>
            <a:ext uri="{FF2B5EF4-FFF2-40B4-BE49-F238E27FC236}">
              <a16:creationId xmlns:a16="http://schemas.microsoft.com/office/drawing/2014/main" id="{00000000-0008-0000-0500-00002E020000}"/>
            </a:ext>
          </a:extLst>
        </xdr:cNvPr>
        <xdr:cNvCxnSpPr/>
      </xdr:nvCxnSpPr>
      <xdr:spPr bwMode="auto">
        <a:xfrm flipV="1">
          <a:off x="88868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559" name="Straight Connector 558">
          <a:extLst>
            <a:ext uri="{FF2B5EF4-FFF2-40B4-BE49-F238E27FC236}">
              <a16:creationId xmlns:a16="http://schemas.microsoft.com/office/drawing/2014/main" id="{00000000-0008-0000-0500-00002F020000}"/>
            </a:ext>
          </a:extLst>
        </xdr:cNvPr>
        <xdr:cNvCxnSpPr/>
      </xdr:nvCxnSpPr>
      <xdr:spPr bwMode="auto">
        <a:xfrm flipV="1">
          <a:off x="88868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18</xdr:row>
      <xdr:rowOff>34925</xdr:rowOff>
    </xdr:from>
    <xdr:to>
      <xdr:col>14</xdr:col>
      <xdr:colOff>9525</xdr:colOff>
      <xdr:row>19</xdr:row>
      <xdr:rowOff>0</xdr:rowOff>
    </xdr:to>
    <xdr:cxnSp macro="">
      <xdr:nvCxnSpPr>
        <xdr:cNvPr id="560" name="Straight Connector 559">
          <a:extLst>
            <a:ext uri="{FF2B5EF4-FFF2-40B4-BE49-F238E27FC236}">
              <a16:creationId xmlns:a16="http://schemas.microsoft.com/office/drawing/2014/main" id="{00000000-0008-0000-0500-000030020000}"/>
            </a:ext>
          </a:extLst>
        </xdr:cNvPr>
        <xdr:cNvCxnSpPr/>
      </xdr:nvCxnSpPr>
      <xdr:spPr bwMode="auto">
        <a:xfrm flipV="1">
          <a:off x="88868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561" name="Straight Connector 560">
          <a:extLst>
            <a:ext uri="{FF2B5EF4-FFF2-40B4-BE49-F238E27FC236}">
              <a16:creationId xmlns:a16="http://schemas.microsoft.com/office/drawing/2014/main" id="{00000000-0008-0000-0500-000031020000}"/>
            </a:ext>
          </a:extLst>
        </xdr:cNvPr>
        <xdr:cNvCxnSpPr/>
      </xdr:nvCxnSpPr>
      <xdr:spPr bwMode="auto">
        <a:xfrm flipV="1">
          <a:off x="101060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562" name="Straight Connector 561">
          <a:extLst>
            <a:ext uri="{FF2B5EF4-FFF2-40B4-BE49-F238E27FC236}">
              <a16:creationId xmlns:a16="http://schemas.microsoft.com/office/drawing/2014/main" id="{00000000-0008-0000-0500-000032020000}"/>
            </a:ext>
          </a:extLst>
        </xdr:cNvPr>
        <xdr:cNvCxnSpPr/>
      </xdr:nvCxnSpPr>
      <xdr:spPr bwMode="auto">
        <a:xfrm flipV="1">
          <a:off x="101060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563" name="Straight Connector 562">
          <a:extLst>
            <a:ext uri="{FF2B5EF4-FFF2-40B4-BE49-F238E27FC236}">
              <a16:creationId xmlns:a16="http://schemas.microsoft.com/office/drawing/2014/main" id="{00000000-0008-0000-0500-000033020000}"/>
            </a:ext>
          </a:extLst>
        </xdr:cNvPr>
        <xdr:cNvCxnSpPr/>
      </xdr:nvCxnSpPr>
      <xdr:spPr bwMode="auto">
        <a:xfrm flipV="1">
          <a:off x="101060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564" name="Straight Connector 563">
          <a:extLst>
            <a:ext uri="{FF2B5EF4-FFF2-40B4-BE49-F238E27FC236}">
              <a16:creationId xmlns:a16="http://schemas.microsoft.com/office/drawing/2014/main" id="{00000000-0008-0000-0500-000034020000}"/>
            </a:ext>
          </a:extLst>
        </xdr:cNvPr>
        <xdr:cNvCxnSpPr/>
      </xdr:nvCxnSpPr>
      <xdr:spPr bwMode="auto">
        <a:xfrm flipV="1">
          <a:off x="101060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565" name="Straight Connector 564">
          <a:extLst>
            <a:ext uri="{FF2B5EF4-FFF2-40B4-BE49-F238E27FC236}">
              <a16:creationId xmlns:a16="http://schemas.microsoft.com/office/drawing/2014/main" id="{00000000-0008-0000-0500-000035020000}"/>
            </a:ext>
          </a:extLst>
        </xdr:cNvPr>
        <xdr:cNvCxnSpPr/>
      </xdr:nvCxnSpPr>
      <xdr:spPr bwMode="auto">
        <a:xfrm flipV="1">
          <a:off x="101060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566" name="Straight Connector 565">
          <a:extLst>
            <a:ext uri="{FF2B5EF4-FFF2-40B4-BE49-F238E27FC236}">
              <a16:creationId xmlns:a16="http://schemas.microsoft.com/office/drawing/2014/main" id="{00000000-0008-0000-0500-000036020000}"/>
            </a:ext>
          </a:extLst>
        </xdr:cNvPr>
        <xdr:cNvCxnSpPr/>
      </xdr:nvCxnSpPr>
      <xdr:spPr bwMode="auto">
        <a:xfrm flipV="1">
          <a:off x="101060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567" name="Straight Connector 566">
          <a:extLst>
            <a:ext uri="{FF2B5EF4-FFF2-40B4-BE49-F238E27FC236}">
              <a16:creationId xmlns:a16="http://schemas.microsoft.com/office/drawing/2014/main" id="{00000000-0008-0000-0500-000037020000}"/>
            </a:ext>
          </a:extLst>
        </xdr:cNvPr>
        <xdr:cNvCxnSpPr/>
      </xdr:nvCxnSpPr>
      <xdr:spPr bwMode="auto">
        <a:xfrm flipV="1">
          <a:off x="101060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568" name="Straight Connector 567">
          <a:extLst>
            <a:ext uri="{FF2B5EF4-FFF2-40B4-BE49-F238E27FC236}">
              <a16:creationId xmlns:a16="http://schemas.microsoft.com/office/drawing/2014/main" id="{00000000-0008-0000-0500-000038020000}"/>
            </a:ext>
          </a:extLst>
        </xdr:cNvPr>
        <xdr:cNvCxnSpPr/>
      </xdr:nvCxnSpPr>
      <xdr:spPr bwMode="auto">
        <a:xfrm flipV="1">
          <a:off x="101060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16</xdr:row>
      <xdr:rowOff>34925</xdr:rowOff>
    </xdr:from>
    <xdr:to>
      <xdr:col>16</xdr:col>
      <xdr:colOff>9525</xdr:colOff>
      <xdr:row>17</xdr:row>
      <xdr:rowOff>0</xdr:rowOff>
    </xdr:to>
    <xdr:cxnSp macro="">
      <xdr:nvCxnSpPr>
        <xdr:cNvPr id="569" name="Straight Connector 568">
          <a:extLst>
            <a:ext uri="{FF2B5EF4-FFF2-40B4-BE49-F238E27FC236}">
              <a16:creationId xmlns:a16="http://schemas.microsoft.com/office/drawing/2014/main" id="{00000000-0008-0000-0500-000039020000}"/>
            </a:ext>
          </a:extLst>
        </xdr:cNvPr>
        <xdr:cNvCxnSpPr/>
      </xdr:nvCxnSpPr>
      <xdr:spPr bwMode="auto">
        <a:xfrm flipV="1">
          <a:off x="101060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570" name="Straight Connector 569">
          <a:extLst>
            <a:ext uri="{FF2B5EF4-FFF2-40B4-BE49-F238E27FC236}">
              <a16:creationId xmlns:a16="http://schemas.microsoft.com/office/drawing/2014/main" id="{00000000-0008-0000-0500-00003A020000}"/>
            </a:ext>
          </a:extLst>
        </xdr:cNvPr>
        <xdr:cNvCxnSpPr/>
      </xdr:nvCxnSpPr>
      <xdr:spPr bwMode="auto">
        <a:xfrm flipV="1">
          <a:off x="113252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571" name="Straight Connector 570">
          <a:extLst>
            <a:ext uri="{FF2B5EF4-FFF2-40B4-BE49-F238E27FC236}">
              <a16:creationId xmlns:a16="http://schemas.microsoft.com/office/drawing/2014/main" id="{00000000-0008-0000-0500-00003B020000}"/>
            </a:ext>
          </a:extLst>
        </xdr:cNvPr>
        <xdr:cNvCxnSpPr/>
      </xdr:nvCxnSpPr>
      <xdr:spPr bwMode="auto">
        <a:xfrm flipV="1">
          <a:off x="113252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572" name="Straight Connector 571">
          <a:extLst>
            <a:ext uri="{FF2B5EF4-FFF2-40B4-BE49-F238E27FC236}">
              <a16:creationId xmlns:a16="http://schemas.microsoft.com/office/drawing/2014/main" id="{00000000-0008-0000-0500-00003C020000}"/>
            </a:ext>
          </a:extLst>
        </xdr:cNvPr>
        <xdr:cNvCxnSpPr/>
      </xdr:nvCxnSpPr>
      <xdr:spPr bwMode="auto">
        <a:xfrm flipV="1">
          <a:off x="113252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573" name="Straight Connector 572">
          <a:extLst>
            <a:ext uri="{FF2B5EF4-FFF2-40B4-BE49-F238E27FC236}">
              <a16:creationId xmlns:a16="http://schemas.microsoft.com/office/drawing/2014/main" id="{00000000-0008-0000-0500-00003D020000}"/>
            </a:ext>
          </a:extLst>
        </xdr:cNvPr>
        <xdr:cNvCxnSpPr/>
      </xdr:nvCxnSpPr>
      <xdr:spPr bwMode="auto">
        <a:xfrm flipV="1">
          <a:off x="113252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574" name="Straight Connector 573">
          <a:extLst>
            <a:ext uri="{FF2B5EF4-FFF2-40B4-BE49-F238E27FC236}">
              <a16:creationId xmlns:a16="http://schemas.microsoft.com/office/drawing/2014/main" id="{00000000-0008-0000-0500-00003E020000}"/>
            </a:ext>
          </a:extLst>
        </xdr:cNvPr>
        <xdr:cNvCxnSpPr/>
      </xdr:nvCxnSpPr>
      <xdr:spPr bwMode="auto">
        <a:xfrm flipV="1">
          <a:off x="113252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575" name="Straight Connector 574">
          <a:extLst>
            <a:ext uri="{FF2B5EF4-FFF2-40B4-BE49-F238E27FC236}">
              <a16:creationId xmlns:a16="http://schemas.microsoft.com/office/drawing/2014/main" id="{00000000-0008-0000-0500-00003F020000}"/>
            </a:ext>
          </a:extLst>
        </xdr:cNvPr>
        <xdr:cNvCxnSpPr/>
      </xdr:nvCxnSpPr>
      <xdr:spPr bwMode="auto">
        <a:xfrm flipV="1">
          <a:off x="113252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576" name="Straight Connector 575">
          <a:extLst>
            <a:ext uri="{FF2B5EF4-FFF2-40B4-BE49-F238E27FC236}">
              <a16:creationId xmlns:a16="http://schemas.microsoft.com/office/drawing/2014/main" id="{00000000-0008-0000-0500-000040020000}"/>
            </a:ext>
          </a:extLst>
        </xdr:cNvPr>
        <xdr:cNvCxnSpPr/>
      </xdr:nvCxnSpPr>
      <xdr:spPr bwMode="auto">
        <a:xfrm flipV="1">
          <a:off x="113252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577" name="Straight Connector 576">
          <a:extLst>
            <a:ext uri="{FF2B5EF4-FFF2-40B4-BE49-F238E27FC236}">
              <a16:creationId xmlns:a16="http://schemas.microsoft.com/office/drawing/2014/main" id="{00000000-0008-0000-0500-000041020000}"/>
            </a:ext>
          </a:extLst>
        </xdr:cNvPr>
        <xdr:cNvCxnSpPr/>
      </xdr:nvCxnSpPr>
      <xdr:spPr bwMode="auto">
        <a:xfrm flipV="1">
          <a:off x="113252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14</xdr:row>
      <xdr:rowOff>34925</xdr:rowOff>
    </xdr:from>
    <xdr:to>
      <xdr:col>18</xdr:col>
      <xdr:colOff>9525</xdr:colOff>
      <xdr:row>15</xdr:row>
      <xdr:rowOff>0</xdr:rowOff>
    </xdr:to>
    <xdr:cxnSp macro="">
      <xdr:nvCxnSpPr>
        <xdr:cNvPr id="578" name="Straight Connector 577">
          <a:extLst>
            <a:ext uri="{FF2B5EF4-FFF2-40B4-BE49-F238E27FC236}">
              <a16:creationId xmlns:a16="http://schemas.microsoft.com/office/drawing/2014/main" id="{00000000-0008-0000-0500-000042020000}"/>
            </a:ext>
          </a:extLst>
        </xdr:cNvPr>
        <xdr:cNvCxnSpPr/>
      </xdr:nvCxnSpPr>
      <xdr:spPr bwMode="auto">
        <a:xfrm flipV="1">
          <a:off x="113252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79" name="Straight Connector 578">
          <a:extLst>
            <a:ext uri="{FF2B5EF4-FFF2-40B4-BE49-F238E27FC236}">
              <a16:creationId xmlns:a16="http://schemas.microsoft.com/office/drawing/2014/main" id="{00000000-0008-0000-0500-000043020000}"/>
            </a:ext>
          </a:extLst>
        </xdr:cNvPr>
        <xdr:cNvCxnSpPr/>
      </xdr:nvCxnSpPr>
      <xdr:spPr bwMode="auto">
        <a:xfrm flipV="1">
          <a:off x="125444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80" name="Straight Connector 579">
          <a:extLst>
            <a:ext uri="{FF2B5EF4-FFF2-40B4-BE49-F238E27FC236}">
              <a16:creationId xmlns:a16="http://schemas.microsoft.com/office/drawing/2014/main" id="{00000000-0008-0000-0500-000044020000}"/>
            </a:ext>
          </a:extLst>
        </xdr:cNvPr>
        <xdr:cNvCxnSpPr/>
      </xdr:nvCxnSpPr>
      <xdr:spPr bwMode="auto">
        <a:xfrm flipV="1">
          <a:off x="125444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81" name="Straight Connector 580">
          <a:extLst>
            <a:ext uri="{FF2B5EF4-FFF2-40B4-BE49-F238E27FC236}">
              <a16:creationId xmlns:a16="http://schemas.microsoft.com/office/drawing/2014/main" id="{00000000-0008-0000-0500-000045020000}"/>
            </a:ext>
          </a:extLst>
        </xdr:cNvPr>
        <xdr:cNvCxnSpPr/>
      </xdr:nvCxnSpPr>
      <xdr:spPr bwMode="auto">
        <a:xfrm flipV="1">
          <a:off x="125444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82" name="Straight Connector 581">
          <a:extLst>
            <a:ext uri="{FF2B5EF4-FFF2-40B4-BE49-F238E27FC236}">
              <a16:creationId xmlns:a16="http://schemas.microsoft.com/office/drawing/2014/main" id="{00000000-0008-0000-0500-000046020000}"/>
            </a:ext>
          </a:extLst>
        </xdr:cNvPr>
        <xdr:cNvCxnSpPr/>
      </xdr:nvCxnSpPr>
      <xdr:spPr bwMode="auto">
        <a:xfrm flipV="1">
          <a:off x="125444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83" name="Straight Connector 582">
          <a:extLst>
            <a:ext uri="{FF2B5EF4-FFF2-40B4-BE49-F238E27FC236}">
              <a16:creationId xmlns:a16="http://schemas.microsoft.com/office/drawing/2014/main" id="{00000000-0008-0000-0500-000047020000}"/>
            </a:ext>
          </a:extLst>
        </xdr:cNvPr>
        <xdr:cNvCxnSpPr/>
      </xdr:nvCxnSpPr>
      <xdr:spPr bwMode="auto">
        <a:xfrm flipV="1">
          <a:off x="125444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84" name="Straight Connector 583">
          <a:extLst>
            <a:ext uri="{FF2B5EF4-FFF2-40B4-BE49-F238E27FC236}">
              <a16:creationId xmlns:a16="http://schemas.microsoft.com/office/drawing/2014/main" id="{00000000-0008-0000-0500-000048020000}"/>
            </a:ext>
          </a:extLst>
        </xdr:cNvPr>
        <xdr:cNvCxnSpPr/>
      </xdr:nvCxnSpPr>
      <xdr:spPr bwMode="auto">
        <a:xfrm flipV="1">
          <a:off x="125444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85" name="Straight Connector 584">
          <a:extLst>
            <a:ext uri="{FF2B5EF4-FFF2-40B4-BE49-F238E27FC236}">
              <a16:creationId xmlns:a16="http://schemas.microsoft.com/office/drawing/2014/main" id="{00000000-0008-0000-0500-000049020000}"/>
            </a:ext>
          </a:extLst>
        </xdr:cNvPr>
        <xdr:cNvCxnSpPr/>
      </xdr:nvCxnSpPr>
      <xdr:spPr bwMode="auto">
        <a:xfrm flipV="1">
          <a:off x="125444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86" name="Straight Connector 585">
          <a:extLst>
            <a:ext uri="{FF2B5EF4-FFF2-40B4-BE49-F238E27FC236}">
              <a16:creationId xmlns:a16="http://schemas.microsoft.com/office/drawing/2014/main" id="{00000000-0008-0000-0500-00004A020000}"/>
            </a:ext>
          </a:extLst>
        </xdr:cNvPr>
        <xdr:cNvCxnSpPr/>
      </xdr:nvCxnSpPr>
      <xdr:spPr bwMode="auto">
        <a:xfrm flipV="1">
          <a:off x="125444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12</xdr:row>
      <xdr:rowOff>34925</xdr:rowOff>
    </xdr:from>
    <xdr:to>
      <xdr:col>20</xdr:col>
      <xdr:colOff>9525</xdr:colOff>
      <xdr:row>13</xdr:row>
      <xdr:rowOff>0</xdr:rowOff>
    </xdr:to>
    <xdr:cxnSp macro="">
      <xdr:nvCxnSpPr>
        <xdr:cNvPr id="587" name="Straight Connector 586">
          <a:extLst>
            <a:ext uri="{FF2B5EF4-FFF2-40B4-BE49-F238E27FC236}">
              <a16:creationId xmlns:a16="http://schemas.microsoft.com/office/drawing/2014/main" id="{00000000-0008-0000-0500-00004B020000}"/>
            </a:ext>
          </a:extLst>
        </xdr:cNvPr>
        <xdr:cNvCxnSpPr/>
      </xdr:nvCxnSpPr>
      <xdr:spPr bwMode="auto">
        <a:xfrm flipV="1">
          <a:off x="125444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588" name="Straight Connector 587">
          <a:extLst>
            <a:ext uri="{FF2B5EF4-FFF2-40B4-BE49-F238E27FC236}">
              <a16:creationId xmlns:a16="http://schemas.microsoft.com/office/drawing/2014/main" id="{00000000-0008-0000-0500-00004C020000}"/>
            </a:ext>
          </a:extLst>
        </xdr:cNvPr>
        <xdr:cNvCxnSpPr/>
      </xdr:nvCxnSpPr>
      <xdr:spPr bwMode="auto">
        <a:xfrm flipV="1">
          <a:off x="137636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589" name="Straight Connector 588">
          <a:extLst>
            <a:ext uri="{FF2B5EF4-FFF2-40B4-BE49-F238E27FC236}">
              <a16:creationId xmlns:a16="http://schemas.microsoft.com/office/drawing/2014/main" id="{00000000-0008-0000-0500-00004D020000}"/>
            </a:ext>
          </a:extLst>
        </xdr:cNvPr>
        <xdr:cNvCxnSpPr/>
      </xdr:nvCxnSpPr>
      <xdr:spPr bwMode="auto">
        <a:xfrm flipV="1">
          <a:off x="137636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590" name="Straight Connector 589">
          <a:extLst>
            <a:ext uri="{FF2B5EF4-FFF2-40B4-BE49-F238E27FC236}">
              <a16:creationId xmlns:a16="http://schemas.microsoft.com/office/drawing/2014/main" id="{00000000-0008-0000-0500-00004E020000}"/>
            </a:ext>
          </a:extLst>
        </xdr:cNvPr>
        <xdr:cNvCxnSpPr/>
      </xdr:nvCxnSpPr>
      <xdr:spPr bwMode="auto">
        <a:xfrm flipV="1">
          <a:off x="137636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591" name="Straight Connector 590">
          <a:extLst>
            <a:ext uri="{FF2B5EF4-FFF2-40B4-BE49-F238E27FC236}">
              <a16:creationId xmlns:a16="http://schemas.microsoft.com/office/drawing/2014/main" id="{00000000-0008-0000-0500-00004F020000}"/>
            </a:ext>
          </a:extLst>
        </xdr:cNvPr>
        <xdr:cNvCxnSpPr/>
      </xdr:nvCxnSpPr>
      <xdr:spPr bwMode="auto">
        <a:xfrm flipV="1">
          <a:off x="137636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592" name="Straight Connector 591">
          <a:extLst>
            <a:ext uri="{FF2B5EF4-FFF2-40B4-BE49-F238E27FC236}">
              <a16:creationId xmlns:a16="http://schemas.microsoft.com/office/drawing/2014/main" id="{00000000-0008-0000-0500-000050020000}"/>
            </a:ext>
          </a:extLst>
        </xdr:cNvPr>
        <xdr:cNvCxnSpPr/>
      </xdr:nvCxnSpPr>
      <xdr:spPr bwMode="auto">
        <a:xfrm flipV="1">
          <a:off x="137636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593" name="Straight Connector 592">
          <a:extLst>
            <a:ext uri="{FF2B5EF4-FFF2-40B4-BE49-F238E27FC236}">
              <a16:creationId xmlns:a16="http://schemas.microsoft.com/office/drawing/2014/main" id="{00000000-0008-0000-0500-000051020000}"/>
            </a:ext>
          </a:extLst>
        </xdr:cNvPr>
        <xdr:cNvCxnSpPr/>
      </xdr:nvCxnSpPr>
      <xdr:spPr bwMode="auto">
        <a:xfrm flipV="1">
          <a:off x="137636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594" name="Straight Connector 593">
          <a:extLst>
            <a:ext uri="{FF2B5EF4-FFF2-40B4-BE49-F238E27FC236}">
              <a16:creationId xmlns:a16="http://schemas.microsoft.com/office/drawing/2014/main" id="{00000000-0008-0000-0500-000052020000}"/>
            </a:ext>
          </a:extLst>
        </xdr:cNvPr>
        <xdr:cNvCxnSpPr/>
      </xdr:nvCxnSpPr>
      <xdr:spPr bwMode="auto">
        <a:xfrm flipV="1">
          <a:off x="137636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595" name="Straight Connector 594">
          <a:extLst>
            <a:ext uri="{FF2B5EF4-FFF2-40B4-BE49-F238E27FC236}">
              <a16:creationId xmlns:a16="http://schemas.microsoft.com/office/drawing/2014/main" id="{00000000-0008-0000-0500-000053020000}"/>
            </a:ext>
          </a:extLst>
        </xdr:cNvPr>
        <xdr:cNvCxnSpPr/>
      </xdr:nvCxnSpPr>
      <xdr:spPr bwMode="auto">
        <a:xfrm flipV="1">
          <a:off x="137636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10</xdr:row>
      <xdr:rowOff>34925</xdr:rowOff>
    </xdr:from>
    <xdr:to>
      <xdr:col>22</xdr:col>
      <xdr:colOff>9525</xdr:colOff>
      <xdr:row>11</xdr:row>
      <xdr:rowOff>0</xdr:rowOff>
    </xdr:to>
    <xdr:cxnSp macro="">
      <xdr:nvCxnSpPr>
        <xdr:cNvPr id="596" name="Straight Connector 595">
          <a:extLst>
            <a:ext uri="{FF2B5EF4-FFF2-40B4-BE49-F238E27FC236}">
              <a16:creationId xmlns:a16="http://schemas.microsoft.com/office/drawing/2014/main" id="{00000000-0008-0000-0500-000054020000}"/>
            </a:ext>
          </a:extLst>
        </xdr:cNvPr>
        <xdr:cNvCxnSpPr/>
      </xdr:nvCxnSpPr>
      <xdr:spPr bwMode="auto">
        <a:xfrm flipV="1">
          <a:off x="13763625" y="16541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597" name="Straight Connector 596">
          <a:extLst>
            <a:ext uri="{FF2B5EF4-FFF2-40B4-BE49-F238E27FC236}">
              <a16:creationId xmlns:a16="http://schemas.microsoft.com/office/drawing/2014/main" id="{00000000-0008-0000-0500-000055020000}"/>
            </a:ext>
          </a:extLst>
        </xdr:cNvPr>
        <xdr:cNvCxnSpPr/>
      </xdr:nvCxnSpPr>
      <xdr:spPr bwMode="auto">
        <a:xfrm flipV="1">
          <a:off x="149828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598" name="Straight Connector 597">
          <a:extLst>
            <a:ext uri="{FF2B5EF4-FFF2-40B4-BE49-F238E27FC236}">
              <a16:creationId xmlns:a16="http://schemas.microsoft.com/office/drawing/2014/main" id="{00000000-0008-0000-0500-000056020000}"/>
            </a:ext>
          </a:extLst>
        </xdr:cNvPr>
        <xdr:cNvCxnSpPr/>
      </xdr:nvCxnSpPr>
      <xdr:spPr bwMode="auto">
        <a:xfrm flipV="1">
          <a:off x="149828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599" name="Straight Connector 598">
          <a:extLst>
            <a:ext uri="{FF2B5EF4-FFF2-40B4-BE49-F238E27FC236}">
              <a16:creationId xmlns:a16="http://schemas.microsoft.com/office/drawing/2014/main" id="{00000000-0008-0000-0500-000057020000}"/>
            </a:ext>
          </a:extLst>
        </xdr:cNvPr>
        <xdr:cNvCxnSpPr/>
      </xdr:nvCxnSpPr>
      <xdr:spPr bwMode="auto">
        <a:xfrm flipV="1">
          <a:off x="149828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600" name="Straight Connector 599">
          <a:extLst>
            <a:ext uri="{FF2B5EF4-FFF2-40B4-BE49-F238E27FC236}">
              <a16:creationId xmlns:a16="http://schemas.microsoft.com/office/drawing/2014/main" id="{00000000-0008-0000-0500-000058020000}"/>
            </a:ext>
          </a:extLst>
        </xdr:cNvPr>
        <xdr:cNvCxnSpPr/>
      </xdr:nvCxnSpPr>
      <xdr:spPr bwMode="auto">
        <a:xfrm flipV="1">
          <a:off x="149828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601" name="Straight Connector 600">
          <a:extLst>
            <a:ext uri="{FF2B5EF4-FFF2-40B4-BE49-F238E27FC236}">
              <a16:creationId xmlns:a16="http://schemas.microsoft.com/office/drawing/2014/main" id="{00000000-0008-0000-0500-000059020000}"/>
            </a:ext>
          </a:extLst>
        </xdr:cNvPr>
        <xdr:cNvCxnSpPr/>
      </xdr:nvCxnSpPr>
      <xdr:spPr bwMode="auto">
        <a:xfrm flipV="1">
          <a:off x="149828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602" name="Straight Connector 601">
          <a:extLst>
            <a:ext uri="{FF2B5EF4-FFF2-40B4-BE49-F238E27FC236}">
              <a16:creationId xmlns:a16="http://schemas.microsoft.com/office/drawing/2014/main" id="{00000000-0008-0000-0500-00005A020000}"/>
            </a:ext>
          </a:extLst>
        </xdr:cNvPr>
        <xdr:cNvCxnSpPr/>
      </xdr:nvCxnSpPr>
      <xdr:spPr bwMode="auto">
        <a:xfrm flipV="1">
          <a:off x="149828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603" name="Straight Connector 602">
          <a:extLst>
            <a:ext uri="{FF2B5EF4-FFF2-40B4-BE49-F238E27FC236}">
              <a16:creationId xmlns:a16="http://schemas.microsoft.com/office/drawing/2014/main" id="{00000000-0008-0000-0500-00005B020000}"/>
            </a:ext>
          </a:extLst>
        </xdr:cNvPr>
        <xdr:cNvCxnSpPr/>
      </xdr:nvCxnSpPr>
      <xdr:spPr bwMode="auto">
        <a:xfrm flipV="1">
          <a:off x="149828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604" name="Straight Connector 603">
          <a:extLst>
            <a:ext uri="{FF2B5EF4-FFF2-40B4-BE49-F238E27FC236}">
              <a16:creationId xmlns:a16="http://schemas.microsoft.com/office/drawing/2014/main" id="{00000000-0008-0000-0500-00005C020000}"/>
            </a:ext>
          </a:extLst>
        </xdr:cNvPr>
        <xdr:cNvCxnSpPr/>
      </xdr:nvCxnSpPr>
      <xdr:spPr bwMode="auto">
        <a:xfrm flipV="1">
          <a:off x="149828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8</xdr:row>
      <xdr:rowOff>34925</xdr:rowOff>
    </xdr:from>
    <xdr:to>
      <xdr:col>24</xdr:col>
      <xdr:colOff>9525</xdr:colOff>
      <xdr:row>9</xdr:row>
      <xdr:rowOff>0</xdr:rowOff>
    </xdr:to>
    <xdr:cxnSp macro="">
      <xdr:nvCxnSpPr>
        <xdr:cNvPr id="605" name="Straight Connector 604">
          <a:extLst>
            <a:ext uri="{FF2B5EF4-FFF2-40B4-BE49-F238E27FC236}">
              <a16:creationId xmlns:a16="http://schemas.microsoft.com/office/drawing/2014/main" id="{00000000-0008-0000-0500-00005D020000}"/>
            </a:ext>
          </a:extLst>
        </xdr:cNvPr>
        <xdr:cNvCxnSpPr/>
      </xdr:nvCxnSpPr>
      <xdr:spPr bwMode="auto">
        <a:xfrm flipV="1">
          <a:off x="14982825" y="13303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606" name="Straight Connector 605">
          <a:extLst>
            <a:ext uri="{FF2B5EF4-FFF2-40B4-BE49-F238E27FC236}">
              <a16:creationId xmlns:a16="http://schemas.microsoft.com/office/drawing/2014/main" id="{00000000-0008-0000-0500-00005E020000}"/>
            </a:ext>
          </a:extLst>
        </xdr:cNvPr>
        <xdr:cNvCxnSpPr/>
      </xdr:nvCxnSpPr>
      <xdr:spPr bwMode="auto">
        <a:xfrm flipV="1">
          <a:off x="149828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607" name="Straight Connector 606">
          <a:extLst>
            <a:ext uri="{FF2B5EF4-FFF2-40B4-BE49-F238E27FC236}">
              <a16:creationId xmlns:a16="http://schemas.microsoft.com/office/drawing/2014/main" id="{00000000-0008-0000-0500-00005F020000}"/>
            </a:ext>
          </a:extLst>
        </xdr:cNvPr>
        <xdr:cNvCxnSpPr/>
      </xdr:nvCxnSpPr>
      <xdr:spPr bwMode="auto">
        <a:xfrm flipV="1">
          <a:off x="149828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608" name="Straight Connector 607">
          <a:extLst>
            <a:ext uri="{FF2B5EF4-FFF2-40B4-BE49-F238E27FC236}">
              <a16:creationId xmlns:a16="http://schemas.microsoft.com/office/drawing/2014/main" id="{00000000-0008-0000-0500-000060020000}"/>
            </a:ext>
          </a:extLst>
        </xdr:cNvPr>
        <xdr:cNvCxnSpPr/>
      </xdr:nvCxnSpPr>
      <xdr:spPr bwMode="auto">
        <a:xfrm flipV="1">
          <a:off x="149828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609" name="Straight Connector 608">
          <a:extLst>
            <a:ext uri="{FF2B5EF4-FFF2-40B4-BE49-F238E27FC236}">
              <a16:creationId xmlns:a16="http://schemas.microsoft.com/office/drawing/2014/main" id="{00000000-0008-0000-0500-000061020000}"/>
            </a:ext>
          </a:extLst>
        </xdr:cNvPr>
        <xdr:cNvCxnSpPr/>
      </xdr:nvCxnSpPr>
      <xdr:spPr bwMode="auto">
        <a:xfrm flipV="1">
          <a:off x="149828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610" name="Straight Connector 609">
          <a:extLst>
            <a:ext uri="{FF2B5EF4-FFF2-40B4-BE49-F238E27FC236}">
              <a16:creationId xmlns:a16="http://schemas.microsoft.com/office/drawing/2014/main" id="{00000000-0008-0000-0500-000062020000}"/>
            </a:ext>
          </a:extLst>
        </xdr:cNvPr>
        <xdr:cNvCxnSpPr/>
      </xdr:nvCxnSpPr>
      <xdr:spPr bwMode="auto">
        <a:xfrm flipV="1">
          <a:off x="149828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611" name="Straight Connector 610">
          <a:extLst>
            <a:ext uri="{FF2B5EF4-FFF2-40B4-BE49-F238E27FC236}">
              <a16:creationId xmlns:a16="http://schemas.microsoft.com/office/drawing/2014/main" id="{00000000-0008-0000-0500-000063020000}"/>
            </a:ext>
          </a:extLst>
        </xdr:cNvPr>
        <xdr:cNvCxnSpPr/>
      </xdr:nvCxnSpPr>
      <xdr:spPr bwMode="auto">
        <a:xfrm flipV="1">
          <a:off x="149828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612" name="Straight Connector 611">
          <a:extLst>
            <a:ext uri="{FF2B5EF4-FFF2-40B4-BE49-F238E27FC236}">
              <a16:creationId xmlns:a16="http://schemas.microsoft.com/office/drawing/2014/main" id="{00000000-0008-0000-0500-000064020000}"/>
            </a:ext>
          </a:extLst>
        </xdr:cNvPr>
        <xdr:cNvCxnSpPr/>
      </xdr:nvCxnSpPr>
      <xdr:spPr bwMode="auto">
        <a:xfrm flipV="1">
          <a:off x="149828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613" name="Straight Connector 612">
          <a:extLst>
            <a:ext uri="{FF2B5EF4-FFF2-40B4-BE49-F238E27FC236}">
              <a16:creationId xmlns:a16="http://schemas.microsoft.com/office/drawing/2014/main" id="{00000000-0008-0000-0500-000065020000}"/>
            </a:ext>
          </a:extLst>
        </xdr:cNvPr>
        <xdr:cNvCxnSpPr/>
      </xdr:nvCxnSpPr>
      <xdr:spPr bwMode="auto">
        <a:xfrm flipV="1">
          <a:off x="149828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12</xdr:row>
      <xdr:rowOff>34925</xdr:rowOff>
    </xdr:from>
    <xdr:to>
      <xdr:col>24</xdr:col>
      <xdr:colOff>9525</xdr:colOff>
      <xdr:row>13</xdr:row>
      <xdr:rowOff>0</xdr:rowOff>
    </xdr:to>
    <xdr:cxnSp macro="">
      <xdr:nvCxnSpPr>
        <xdr:cNvPr id="614" name="Straight Connector 613">
          <a:extLst>
            <a:ext uri="{FF2B5EF4-FFF2-40B4-BE49-F238E27FC236}">
              <a16:creationId xmlns:a16="http://schemas.microsoft.com/office/drawing/2014/main" id="{00000000-0008-0000-0500-000066020000}"/>
            </a:ext>
          </a:extLst>
        </xdr:cNvPr>
        <xdr:cNvCxnSpPr/>
      </xdr:nvCxnSpPr>
      <xdr:spPr bwMode="auto">
        <a:xfrm flipV="1">
          <a:off x="14982825" y="19780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615" name="Straight Connector 614">
          <a:extLst>
            <a:ext uri="{FF2B5EF4-FFF2-40B4-BE49-F238E27FC236}">
              <a16:creationId xmlns:a16="http://schemas.microsoft.com/office/drawing/2014/main" id="{00000000-0008-0000-0500-000067020000}"/>
            </a:ext>
          </a:extLst>
        </xdr:cNvPr>
        <xdr:cNvCxnSpPr/>
      </xdr:nvCxnSpPr>
      <xdr:spPr bwMode="auto">
        <a:xfrm flipV="1">
          <a:off x="137636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616" name="Straight Connector 615">
          <a:extLst>
            <a:ext uri="{FF2B5EF4-FFF2-40B4-BE49-F238E27FC236}">
              <a16:creationId xmlns:a16="http://schemas.microsoft.com/office/drawing/2014/main" id="{00000000-0008-0000-0500-000068020000}"/>
            </a:ext>
          </a:extLst>
        </xdr:cNvPr>
        <xdr:cNvCxnSpPr/>
      </xdr:nvCxnSpPr>
      <xdr:spPr bwMode="auto">
        <a:xfrm flipV="1">
          <a:off x="137636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617" name="Straight Connector 616">
          <a:extLst>
            <a:ext uri="{FF2B5EF4-FFF2-40B4-BE49-F238E27FC236}">
              <a16:creationId xmlns:a16="http://schemas.microsoft.com/office/drawing/2014/main" id="{00000000-0008-0000-0500-000069020000}"/>
            </a:ext>
          </a:extLst>
        </xdr:cNvPr>
        <xdr:cNvCxnSpPr/>
      </xdr:nvCxnSpPr>
      <xdr:spPr bwMode="auto">
        <a:xfrm flipV="1">
          <a:off x="137636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618" name="Straight Connector 617">
          <a:extLst>
            <a:ext uri="{FF2B5EF4-FFF2-40B4-BE49-F238E27FC236}">
              <a16:creationId xmlns:a16="http://schemas.microsoft.com/office/drawing/2014/main" id="{00000000-0008-0000-0500-00006A020000}"/>
            </a:ext>
          </a:extLst>
        </xdr:cNvPr>
        <xdr:cNvCxnSpPr/>
      </xdr:nvCxnSpPr>
      <xdr:spPr bwMode="auto">
        <a:xfrm flipV="1">
          <a:off x="137636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619" name="Straight Connector 618">
          <a:extLst>
            <a:ext uri="{FF2B5EF4-FFF2-40B4-BE49-F238E27FC236}">
              <a16:creationId xmlns:a16="http://schemas.microsoft.com/office/drawing/2014/main" id="{00000000-0008-0000-0500-00006B020000}"/>
            </a:ext>
          </a:extLst>
        </xdr:cNvPr>
        <xdr:cNvCxnSpPr/>
      </xdr:nvCxnSpPr>
      <xdr:spPr bwMode="auto">
        <a:xfrm flipV="1">
          <a:off x="137636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620" name="Straight Connector 619">
          <a:extLst>
            <a:ext uri="{FF2B5EF4-FFF2-40B4-BE49-F238E27FC236}">
              <a16:creationId xmlns:a16="http://schemas.microsoft.com/office/drawing/2014/main" id="{00000000-0008-0000-0500-00006C020000}"/>
            </a:ext>
          </a:extLst>
        </xdr:cNvPr>
        <xdr:cNvCxnSpPr/>
      </xdr:nvCxnSpPr>
      <xdr:spPr bwMode="auto">
        <a:xfrm flipV="1">
          <a:off x="137636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621" name="Straight Connector 620">
          <a:extLst>
            <a:ext uri="{FF2B5EF4-FFF2-40B4-BE49-F238E27FC236}">
              <a16:creationId xmlns:a16="http://schemas.microsoft.com/office/drawing/2014/main" id="{00000000-0008-0000-0500-00006D020000}"/>
            </a:ext>
          </a:extLst>
        </xdr:cNvPr>
        <xdr:cNvCxnSpPr/>
      </xdr:nvCxnSpPr>
      <xdr:spPr bwMode="auto">
        <a:xfrm flipV="1">
          <a:off x="137636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622" name="Straight Connector 621">
          <a:extLst>
            <a:ext uri="{FF2B5EF4-FFF2-40B4-BE49-F238E27FC236}">
              <a16:creationId xmlns:a16="http://schemas.microsoft.com/office/drawing/2014/main" id="{00000000-0008-0000-0500-00006E020000}"/>
            </a:ext>
          </a:extLst>
        </xdr:cNvPr>
        <xdr:cNvCxnSpPr/>
      </xdr:nvCxnSpPr>
      <xdr:spPr bwMode="auto">
        <a:xfrm flipV="1">
          <a:off x="137636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14</xdr:row>
      <xdr:rowOff>34925</xdr:rowOff>
    </xdr:from>
    <xdr:to>
      <xdr:col>22</xdr:col>
      <xdr:colOff>9525</xdr:colOff>
      <xdr:row>15</xdr:row>
      <xdr:rowOff>0</xdr:rowOff>
    </xdr:to>
    <xdr:cxnSp macro="">
      <xdr:nvCxnSpPr>
        <xdr:cNvPr id="623" name="Straight Connector 622">
          <a:extLst>
            <a:ext uri="{FF2B5EF4-FFF2-40B4-BE49-F238E27FC236}">
              <a16:creationId xmlns:a16="http://schemas.microsoft.com/office/drawing/2014/main" id="{00000000-0008-0000-0500-00006F020000}"/>
            </a:ext>
          </a:extLst>
        </xdr:cNvPr>
        <xdr:cNvCxnSpPr/>
      </xdr:nvCxnSpPr>
      <xdr:spPr bwMode="auto">
        <a:xfrm flipV="1">
          <a:off x="13763625" y="23018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624" name="Straight Connector 623">
          <a:extLst>
            <a:ext uri="{FF2B5EF4-FFF2-40B4-BE49-F238E27FC236}">
              <a16:creationId xmlns:a16="http://schemas.microsoft.com/office/drawing/2014/main" id="{00000000-0008-0000-0500-000070020000}"/>
            </a:ext>
          </a:extLst>
        </xdr:cNvPr>
        <xdr:cNvCxnSpPr/>
      </xdr:nvCxnSpPr>
      <xdr:spPr bwMode="auto">
        <a:xfrm flipV="1">
          <a:off x="125444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625" name="Straight Connector 624">
          <a:extLst>
            <a:ext uri="{FF2B5EF4-FFF2-40B4-BE49-F238E27FC236}">
              <a16:creationId xmlns:a16="http://schemas.microsoft.com/office/drawing/2014/main" id="{00000000-0008-0000-0500-000071020000}"/>
            </a:ext>
          </a:extLst>
        </xdr:cNvPr>
        <xdr:cNvCxnSpPr/>
      </xdr:nvCxnSpPr>
      <xdr:spPr bwMode="auto">
        <a:xfrm flipV="1">
          <a:off x="125444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626" name="Straight Connector 625">
          <a:extLst>
            <a:ext uri="{FF2B5EF4-FFF2-40B4-BE49-F238E27FC236}">
              <a16:creationId xmlns:a16="http://schemas.microsoft.com/office/drawing/2014/main" id="{00000000-0008-0000-0500-000072020000}"/>
            </a:ext>
          </a:extLst>
        </xdr:cNvPr>
        <xdr:cNvCxnSpPr/>
      </xdr:nvCxnSpPr>
      <xdr:spPr bwMode="auto">
        <a:xfrm flipV="1">
          <a:off x="125444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627" name="Straight Connector 626">
          <a:extLst>
            <a:ext uri="{FF2B5EF4-FFF2-40B4-BE49-F238E27FC236}">
              <a16:creationId xmlns:a16="http://schemas.microsoft.com/office/drawing/2014/main" id="{00000000-0008-0000-0500-000073020000}"/>
            </a:ext>
          </a:extLst>
        </xdr:cNvPr>
        <xdr:cNvCxnSpPr/>
      </xdr:nvCxnSpPr>
      <xdr:spPr bwMode="auto">
        <a:xfrm flipV="1">
          <a:off x="125444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628" name="Straight Connector 627">
          <a:extLst>
            <a:ext uri="{FF2B5EF4-FFF2-40B4-BE49-F238E27FC236}">
              <a16:creationId xmlns:a16="http://schemas.microsoft.com/office/drawing/2014/main" id="{00000000-0008-0000-0500-000074020000}"/>
            </a:ext>
          </a:extLst>
        </xdr:cNvPr>
        <xdr:cNvCxnSpPr/>
      </xdr:nvCxnSpPr>
      <xdr:spPr bwMode="auto">
        <a:xfrm flipV="1">
          <a:off x="125444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629" name="Straight Connector 628">
          <a:extLst>
            <a:ext uri="{FF2B5EF4-FFF2-40B4-BE49-F238E27FC236}">
              <a16:creationId xmlns:a16="http://schemas.microsoft.com/office/drawing/2014/main" id="{00000000-0008-0000-0500-000075020000}"/>
            </a:ext>
          </a:extLst>
        </xdr:cNvPr>
        <xdr:cNvCxnSpPr/>
      </xdr:nvCxnSpPr>
      <xdr:spPr bwMode="auto">
        <a:xfrm flipV="1">
          <a:off x="125444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630" name="Straight Connector 629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CxnSpPr/>
      </xdr:nvCxnSpPr>
      <xdr:spPr bwMode="auto">
        <a:xfrm flipV="1">
          <a:off x="125444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631" name="Straight Connector 630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CxnSpPr/>
      </xdr:nvCxnSpPr>
      <xdr:spPr bwMode="auto">
        <a:xfrm flipV="1">
          <a:off x="125444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16</xdr:row>
      <xdr:rowOff>34925</xdr:rowOff>
    </xdr:from>
    <xdr:to>
      <xdr:col>20</xdr:col>
      <xdr:colOff>9525</xdr:colOff>
      <xdr:row>17</xdr:row>
      <xdr:rowOff>0</xdr:rowOff>
    </xdr:to>
    <xdr:cxnSp macro="">
      <xdr:nvCxnSpPr>
        <xdr:cNvPr id="632" name="Straight Connector 631">
          <a:extLst>
            <a:ext uri="{FF2B5EF4-FFF2-40B4-BE49-F238E27FC236}">
              <a16:creationId xmlns:a16="http://schemas.microsoft.com/office/drawing/2014/main" id="{00000000-0008-0000-0500-000078020000}"/>
            </a:ext>
          </a:extLst>
        </xdr:cNvPr>
        <xdr:cNvCxnSpPr/>
      </xdr:nvCxnSpPr>
      <xdr:spPr bwMode="auto">
        <a:xfrm flipV="1">
          <a:off x="125444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633" name="Straight Connector 632">
          <a:extLst>
            <a:ext uri="{FF2B5EF4-FFF2-40B4-BE49-F238E27FC236}">
              <a16:creationId xmlns:a16="http://schemas.microsoft.com/office/drawing/2014/main" id="{00000000-0008-0000-0500-0000790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634" name="Straight Connector 633">
          <a:extLst>
            <a:ext uri="{FF2B5EF4-FFF2-40B4-BE49-F238E27FC236}">
              <a16:creationId xmlns:a16="http://schemas.microsoft.com/office/drawing/2014/main" id="{00000000-0008-0000-0500-00007A0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635" name="Straight Connector 634">
          <a:extLst>
            <a:ext uri="{FF2B5EF4-FFF2-40B4-BE49-F238E27FC236}">
              <a16:creationId xmlns:a16="http://schemas.microsoft.com/office/drawing/2014/main" id="{00000000-0008-0000-0500-00007B0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636" name="Straight Connector 635">
          <a:extLst>
            <a:ext uri="{FF2B5EF4-FFF2-40B4-BE49-F238E27FC236}">
              <a16:creationId xmlns:a16="http://schemas.microsoft.com/office/drawing/2014/main" id="{00000000-0008-0000-0500-00007C0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637" name="Straight Connector 636">
          <a:extLst>
            <a:ext uri="{FF2B5EF4-FFF2-40B4-BE49-F238E27FC236}">
              <a16:creationId xmlns:a16="http://schemas.microsoft.com/office/drawing/2014/main" id="{00000000-0008-0000-0500-00007D0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638" name="Straight Connector 637">
          <a:extLst>
            <a:ext uri="{FF2B5EF4-FFF2-40B4-BE49-F238E27FC236}">
              <a16:creationId xmlns:a16="http://schemas.microsoft.com/office/drawing/2014/main" id="{00000000-0008-0000-0500-00007E0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639" name="Straight Connector 638">
          <a:extLst>
            <a:ext uri="{FF2B5EF4-FFF2-40B4-BE49-F238E27FC236}">
              <a16:creationId xmlns:a16="http://schemas.microsoft.com/office/drawing/2014/main" id="{00000000-0008-0000-0500-00007F0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640" name="Straight Connector 639">
          <a:extLst>
            <a:ext uri="{FF2B5EF4-FFF2-40B4-BE49-F238E27FC236}">
              <a16:creationId xmlns:a16="http://schemas.microsoft.com/office/drawing/2014/main" id="{00000000-0008-0000-0500-0000800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18</xdr:row>
      <xdr:rowOff>34925</xdr:rowOff>
    </xdr:from>
    <xdr:to>
      <xdr:col>18</xdr:col>
      <xdr:colOff>9525</xdr:colOff>
      <xdr:row>19</xdr:row>
      <xdr:rowOff>0</xdr:rowOff>
    </xdr:to>
    <xdr:cxnSp macro="">
      <xdr:nvCxnSpPr>
        <xdr:cNvPr id="641" name="Straight Connector 640">
          <a:extLst>
            <a:ext uri="{FF2B5EF4-FFF2-40B4-BE49-F238E27FC236}">
              <a16:creationId xmlns:a16="http://schemas.microsoft.com/office/drawing/2014/main" id="{00000000-0008-0000-0500-000081020000}"/>
            </a:ext>
          </a:extLst>
        </xdr:cNvPr>
        <xdr:cNvCxnSpPr/>
      </xdr:nvCxnSpPr>
      <xdr:spPr bwMode="auto">
        <a:xfrm flipV="1">
          <a:off x="113252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642" name="Straight Connector 641">
          <a:extLst>
            <a:ext uri="{FF2B5EF4-FFF2-40B4-BE49-F238E27FC236}">
              <a16:creationId xmlns:a16="http://schemas.microsoft.com/office/drawing/2014/main" id="{00000000-0008-0000-0500-000082020000}"/>
            </a:ext>
          </a:extLst>
        </xdr:cNvPr>
        <xdr:cNvCxnSpPr/>
      </xdr:nvCxnSpPr>
      <xdr:spPr bwMode="auto">
        <a:xfrm flipV="1">
          <a:off x="101060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643" name="Straight Connector 642">
          <a:extLst>
            <a:ext uri="{FF2B5EF4-FFF2-40B4-BE49-F238E27FC236}">
              <a16:creationId xmlns:a16="http://schemas.microsoft.com/office/drawing/2014/main" id="{00000000-0008-0000-0500-000083020000}"/>
            </a:ext>
          </a:extLst>
        </xdr:cNvPr>
        <xdr:cNvCxnSpPr/>
      </xdr:nvCxnSpPr>
      <xdr:spPr bwMode="auto">
        <a:xfrm flipV="1">
          <a:off x="101060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644" name="Straight Connector 643">
          <a:extLst>
            <a:ext uri="{FF2B5EF4-FFF2-40B4-BE49-F238E27FC236}">
              <a16:creationId xmlns:a16="http://schemas.microsoft.com/office/drawing/2014/main" id="{00000000-0008-0000-0500-000084020000}"/>
            </a:ext>
          </a:extLst>
        </xdr:cNvPr>
        <xdr:cNvCxnSpPr/>
      </xdr:nvCxnSpPr>
      <xdr:spPr bwMode="auto">
        <a:xfrm flipV="1">
          <a:off x="101060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645" name="Straight Connector 644">
          <a:extLst>
            <a:ext uri="{FF2B5EF4-FFF2-40B4-BE49-F238E27FC236}">
              <a16:creationId xmlns:a16="http://schemas.microsoft.com/office/drawing/2014/main" id="{00000000-0008-0000-0500-000085020000}"/>
            </a:ext>
          </a:extLst>
        </xdr:cNvPr>
        <xdr:cNvCxnSpPr/>
      </xdr:nvCxnSpPr>
      <xdr:spPr bwMode="auto">
        <a:xfrm flipV="1">
          <a:off x="101060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646" name="Straight Connector 645">
          <a:extLst>
            <a:ext uri="{FF2B5EF4-FFF2-40B4-BE49-F238E27FC236}">
              <a16:creationId xmlns:a16="http://schemas.microsoft.com/office/drawing/2014/main" id="{00000000-0008-0000-0500-000086020000}"/>
            </a:ext>
          </a:extLst>
        </xdr:cNvPr>
        <xdr:cNvCxnSpPr/>
      </xdr:nvCxnSpPr>
      <xdr:spPr bwMode="auto">
        <a:xfrm flipV="1">
          <a:off x="101060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647" name="Straight Connector 646">
          <a:extLst>
            <a:ext uri="{FF2B5EF4-FFF2-40B4-BE49-F238E27FC236}">
              <a16:creationId xmlns:a16="http://schemas.microsoft.com/office/drawing/2014/main" id="{00000000-0008-0000-0500-000087020000}"/>
            </a:ext>
          </a:extLst>
        </xdr:cNvPr>
        <xdr:cNvCxnSpPr/>
      </xdr:nvCxnSpPr>
      <xdr:spPr bwMode="auto">
        <a:xfrm flipV="1">
          <a:off x="101060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648" name="Straight Connector 647">
          <a:extLst>
            <a:ext uri="{FF2B5EF4-FFF2-40B4-BE49-F238E27FC236}">
              <a16:creationId xmlns:a16="http://schemas.microsoft.com/office/drawing/2014/main" id="{00000000-0008-0000-0500-000088020000}"/>
            </a:ext>
          </a:extLst>
        </xdr:cNvPr>
        <xdr:cNvCxnSpPr/>
      </xdr:nvCxnSpPr>
      <xdr:spPr bwMode="auto">
        <a:xfrm flipV="1">
          <a:off x="101060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649" name="Straight Connector 648">
          <a:extLst>
            <a:ext uri="{FF2B5EF4-FFF2-40B4-BE49-F238E27FC236}">
              <a16:creationId xmlns:a16="http://schemas.microsoft.com/office/drawing/2014/main" id="{00000000-0008-0000-0500-000089020000}"/>
            </a:ext>
          </a:extLst>
        </xdr:cNvPr>
        <xdr:cNvCxnSpPr/>
      </xdr:nvCxnSpPr>
      <xdr:spPr bwMode="auto">
        <a:xfrm flipV="1">
          <a:off x="101060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34925</xdr:rowOff>
    </xdr:from>
    <xdr:to>
      <xdr:col>16</xdr:col>
      <xdr:colOff>9525</xdr:colOff>
      <xdr:row>21</xdr:row>
      <xdr:rowOff>0</xdr:rowOff>
    </xdr:to>
    <xdr:cxnSp macro="">
      <xdr:nvCxnSpPr>
        <xdr:cNvPr id="650" name="Straight Connector 649">
          <a:extLst>
            <a:ext uri="{FF2B5EF4-FFF2-40B4-BE49-F238E27FC236}">
              <a16:creationId xmlns:a16="http://schemas.microsoft.com/office/drawing/2014/main" id="{00000000-0008-0000-0500-00008A020000}"/>
            </a:ext>
          </a:extLst>
        </xdr:cNvPr>
        <xdr:cNvCxnSpPr/>
      </xdr:nvCxnSpPr>
      <xdr:spPr bwMode="auto">
        <a:xfrm flipV="1">
          <a:off x="101060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651" name="Straight Connector 650">
          <a:extLst>
            <a:ext uri="{FF2B5EF4-FFF2-40B4-BE49-F238E27FC236}">
              <a16:creationId xmlns:a16="http://schemas.microsoft.com/office/drawing/2014/main" id="{00000000-0008-0000-0500-00008B020000}"/>
            </a:ext>
          </a:extLst>
        </xdr:cNvPr>
        <xdr:cNvCxnSpPr/>
      </xdr:nvCxnSpPr>
      <xdr:spPr bwMode="auto">
        <a:xfrm flipV="1">
          <a:off x="88868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652" name="Straight Connector 651">
          <a:extLst>
            <a:ext uri="{FF2B5EF4-FFF2-40B4-BE49-F238E27FC236}">
              <a16:creationId xmlns:a16="http://schemas.microsoft.com/office/drawing/2014/main" id="{00000000-0008-0000-0500-00008C020000}"/>
            </a:ext>
          </a:extLst>
        </xdr:cNvPr>
        <xdr:cNvCxnSpPr/>
      </xdr:nvCxnSpPr>
      <xdr:spPr bwMode="auto">
        <a:xfrm flipV="1">
          <a:off x="88868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653" name="Straight Connector 652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CxnSpPr/>
      </xdr:nvCxnSpPr>
      <xdr:spPr bwMode="auto">
        <a:xfrm flipV="1">
          <a:off x="88868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654" name="Straight Connector 653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CxnSpPr/>
      </xdr:nvCxnSpPr>
      <xdr:spPr bwMode="auto">
        <a:xfrm flipV="1">
          <a:off x="88868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655" name="Straight Connector 654">
          <a:extLst>
            <a:ext uri="{FF2B5EF4-FFF2-40B4-BE49-F238E27FC236}">
              <a16:creationId xmlns:a16="http://schemas.microsoft.com/office/drawing/2014/main" id="{00000000-0008-0000-0500-00008F020000}"/>
            </a:ext>
          </a:extLst>
        </xdr:cNvPr>
        <xdr:cNvCxnSpPr/>
      </xdr:nvCxnSpPr>
      <xdr:spPr bwMode="auto">
        <a:xfrm flipV="1">
          <a:off x="88868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656" name="Straight Connector 655">
          <a:extLst>
            <a:ext uri="{FF2B5EF4-FFF2-40B4-BE49-F238E27FC236}">
              <a16:creationId xmlns:a16="http://schemas.microsoft.com/office/drawing/2014/main" id="{00000000-0008-0000-0500-000090020000}"/>
            </a:ext>
          </a:extLst>
        </xdr:cNvPr>
        <xdr:cNvCxnSpPr/>
      </xdr:nvCxnSpPr>
      <xdr:spPr bwMode="auto">
        <a:xfrm flipV="1">
          <a:off x="88868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657" name="Straight Connector 656">
          <a:extLst>
            <a:ext uri="{FF2B5EF4-FFF2-40B4-BE49-F238E27FC236}">
              <a16:creationId xmlns:a16="http://schemas.microsoft.com/office/drawing/2014/main" id="{00000000-0008-0000-0500-000091020000}"/>
            </a:ext>
          </a:extLst>
        </xdr:cNvPr>
        <xdr:cNvCxnSpPr/>
      </xdr:nvCxnSpPr>
      <xdr:spPr bwMode="auto">
        <a:xfrm flipV="1">
          <a:off x="88868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658" name="Straight Connector 657">
          <a:extLst>
            <a:ext uri="{FF2B5EF4-FFF2-40B4-BE49-F238E27FC236}">
              <a16:creationId xmlns:a16="http://schemas.microsoft.com/office/drawing/2014/main" id="{00000000-0008-0000-0500-000092020000}"/>
            </a:ext>
          </a:extLst>
        </xdr:cNvPr>
        <xdr:cNvCxnSpPr/>
      </xdr:nvCxnSpPr>
      <xdr:spPr bwMode="auto">
        <a:xfrm flipV="1">
          <a:off x="88868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22</xdr:row>
      <xdr:rowOff>34925</xdr:rowOff>
    </xdr:from>
    <xdr:to>
      <xdr:col>14</xdr:col>
      <xdr:colOff>9525</xdr:colOff>
      <xdr:row>23</xdr:row>
      <xdr:rowOff>0</xdr:rowOff>
    </xdr:to>
    <xdr:cxnSp macro="">
      <xdr:nvCxnSpPr>
        <xdr:cNvPr id="659" name="Straight Connector 658">
          <a:extLst>
            <a:ext uri="{FF2B5EF4-FFF2-40B4-BE49-F238E27FC236}">
              <a16:creationId xmlns:a16="http://schemas.microsoft.com/office/drawing/2014/main" id="{00000000-0008-0000-0500-000093020000}"/>
            </a:ext>
          </a:extLst>
        </xdr:cNvPr>
        <xdr:cNvCxnSpPr/>
      </xdr:nvCxnSpPr>
      <xdr:spPr bwMode="auto">
        <a:xfrm flipV="1">
          <a:off x="88868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660" name="Straight Connector 659">
          <a:extLst>
            <a:ext uri="{FF2B5EF4-FFF2-40B4-BE49-F238E27FC236}">
              <a16:creationId xmlns:a16="http://schemas.microsoft.com/office/drawing/2014/main" id="{00000000-0008-0000-0500-00009402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661" name="Straight Connector 660">
          <a:extLst>
            <a:ext uri="{FF2B5EF4-FFF2-40B4-BE49-F238E27FC236}">
              <a16:creationId xmlns:a16="http://schemas.microsoft.com/office/drawing/2014/main" id="{00000000-0008-0000-0500-00009502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662" name="Straight Connector 661">
          <a:extLst>
            <a:ext uri="{FF2B5EF4-FFF2-40B4-BE49-F238E27FC236}">
              <a16:creationId xmlns:a16="http://schemas.microsoft.com/office/drawing/2014/main" id="{00000000-0008-0000-0500-00009602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663" name="Straight Connector 662">
          <a:extLst>
            <a:ext uri="{FF2B5EF4-FFF2-40B4-BE49-F238E27FC236}">
              <a16:creationId xmlns:a16="http://schemas.microsoft.com/office/drawing/2014/main" id="{00000000-0008-0000-0500-00009702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664" name="Straight Connector 663">
          <a:extLst>
            <a:ext uri="{FF2B5EF4-FFF2-40B4-BE49-F238E27FC236}">
              <a16:creationId xmlns:a16="http://schemas.microsoft.com/office/drawing/2014/main" id="{00000000-0008-0000-0500-00009802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665" name="Straight Connector 664">
          <a:extLst>
            <a:ext uri="{FF2B5EF4-FFF2-40B4-BE49-F238E27FC236}">
              <a16:creationId xmlns:a16="http://schemas.microsoft.com/office/drawing/2014/main" id="{00000000-0008-0000-0500-00009902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666" name="Straight Connector 665">
          <a:extLst>
            <a:ext uri="{FF2B5EF4-FFF2-40B4-BE49-F238E27FC236}">
              <a16:creationId xmlns:a16="http://schemas.microsoft.com/office/drawing/2014/main" id="{00000000-0008-0000-0500-00009A02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667" name="Straight Connector 666">
          <a:extLst>
            <a:ext uri="{FF2B5EF4-FFF2-40B4-BE49-F238E27FC236}">
              <a16:creationId xmlns:a16="http://schemas.microsoft.com/office/drawing/2014/main" id="{00000000-0008-0000-0500-00009B02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24</xdr:row>
      <xdr:rowOff>34925</xdr:rowOff>
    </xdr:from>
    <xdr:to>
      <xdr:col>12</xdr:col>
      <xdr:colOff>9525</xdr:colOff>
      <xdr:row>25</xdr:row>
      <xdr:rowOff>0</xdr:rowOff>
    </xdr:to>
    <xdr:cxnSp macro="">
      <xdr:nvCxnSpPr>
        <xdr:cNvPr id="668" name="Straight Connector 667">
          <a:extLst>
            <a:ext uri="{FF2B5EF4-FFF2-40B4-BE49-F238E27FC236}">
              <a16:creationId xmlns:a16="http://schemas.microsoft.com/office/drawing/2014/main" id="{00000000-0008-0000-0500-00009C020000}"/>
            </a:ext>
          </a:extLst>
        </xdr:cNvPr>
        <xdr:cNvCxnSpPr/>
      </xdr:nvCxnSpPr>
      <xdr:spPr bwMode="auto">
        <a:xfrm flipV="1">
          <a:off x="76676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669" name="Straight Connector 668">
          <a:extLst>
            <a:ext uri="{FF2B5EF4-FFF2-40B4-BE49-F238E27FC236}">
              <a16:creationId xmlns:a16="http://schemas.microsoft.com/office/drawing/2014/main" id="{00000000-0008-0000-0500-00009D02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670" name="Straight Connector 669">
          <a:extLst>
            <a:ext uri="{FF2B5EF4-FFF2-40B4-BE49-F238E27FC236}">
              <a16:creationId xmlns:a16="http://schemas.microsoft.com/office/drawing/2014/main" id="{00000000-0008-0000-0500-00009E02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671" name="Straight Connector 670">
          <a:extLst>
            <a:ext uri="{FF2B5EF4-FFF2-40B4-BE49-F238E27FC236}">
              <a16:creationId xmlns:a16="http://schemas.microsoft.com/office/drawing/2014/main" id="{00000000-0008-0000-0500-00009F02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672" name="Straight Connector 671">
          <a:extLst>
            <a:ext uri="{FF2B5EF4-FFF2-40B4-BE49-F238E27FC236}">
              <a16:creationId xmlns:a16="http://schemas.microsoft.com/office/drawing/2014/main" id="{00000000-0008-0000-0500-0000A002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673" name="Straight Connector 672">
          <a:extLst>
            <a:ext uri="{FF2B5EF4-FFF2-40B4-BE49-F238E27FC236}">
              <a16:creationId xmlns:a16="http://schemas.microsoft.com/office/drawing/2014/main" id="{00000000-0008-0000-0500-0000A102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674" name="Straight Connector 673">
          <a:extLst>
            <a:ext uri="{FF2B5EF4-FFF2-40B4-BE49-F238E27FC236}">
              <a16:creationId xmlns:a16="http://schemas.microsoft.com/office/drawing/2014/main" id="{00000000-0008-0000-0500-0000A202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675" name="Straight Connector 674">
          <a:extLst>
            <a:ext uri="{FF2B5EF4-FFF2-40B4-BE49-F238E27FC236}">
              <a16:creationId xmlns:a16="http://schemas.microsoft.com/office/drawing/2014/main" id="{00000000-0008-0000-0500-0000A302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676" name="Straight Connector 675">
          <a:extLst>
            <a:ext uri="{FF2B5EF4-FFF2-40B4-BE49-F238E27FC236}">
              <a16:creationId xmlns:a16="http://schemas.microsoft.com/office/drawing/2014/main" id="{00000000-0008-0000-0500-0000A402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677" name="Straight Connector 676">
          <a:extLst>
            <a:ext uri="{FF2B5EF4-FFF2-40B4-BE49-F238E27FC236}">
              <a16:creationId xmlns:a16="http://schemas.microsoft.com/office/drawing/2014/main" id="{00000000-0008-0000-0500-0000A502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20</xdr:row>
      <xdr:rowOff>34925</xdr:rowOff>
    </xdr:from>
    <xdr:to>
      <xdr:col>20</xdr:col>
      <xdr:colOff>9525</xdr:colOff>
      <xdr:row>21</xdr:row>
      <xdr:rowOff>0</xdr:rowOff>
    </xdr:to>
    <xdr:cxnSp macro="">
      <xdr:nvCxnSpPr>
        <xdr:cNvPr id="678" name="Straight Connector 677">
          <a:extLst>
            <a:ext uri="{FF2B5EF4-FFF2-40B4-BE49-F238E27FC236}">
              <a16:creationId xmlns:a16="http://schemas.microsoft.com/office/drawing/2014/main" id="{00000000-0008-0000-0500-0000A6020000}"/>
            </a:ext>
          </a:extLst>
        </xdr:cNvPr>
        <xdr:cNvCxnSpPr/>
      </xdr:nvCxnSpPr>
      <xdr:spPr bwMode="auto">
        <a:xfrm flipV="1">
          <a:off x="125444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679" name="Straight Connector 678">
          <a:extLst>
            <a:ext uri="{FF2B5EF4-FFF2-40B4-BE49-F238E27FC236}">
              <a16:creationId xmlns:a16="http://schemas.microsoft.com/office/drawing/2014/main" id="{00000000-0008-0000-0500-0000A702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680" name="Straight Connector 679">
          <a:extLst>
            <a:ext uri="{FF2B5EF4-FFF2-40B4-BE49-F238E27FC236}">
              <a16:creationId xmlns:a16="http://schemas.microsoft.com/office/drawing/2014/main" id="{00000000-0008-0000-0500-0000A802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681" name="Straight Connector 680">
          <a:extLst>
            <a:ext uri="{FF2B5EF4-FFF2-40B4-BE49-F238E27FC236}">
              <a16:creationId xmlns:a16="http://schemas.microsoft.com/office/drawing/2014/main" id="{00000000-0008-0000-0500-0000A902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682" name="Straight Connector 681">
          <a:extLst>
            <a:ext uri="{FF2B5EF4-FFF2-40B4-BE49-F238E27FC236}">
              <a16:creationId xmlns:a16="http://schemas.microsoft.com/office/drawing/2014/main" id="{00000000-0008-0000-0500-0000AA02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683" name="Straight Connector 682">
          <a:extLst>
            <a:ext uri="{FF2B5EF4-FFF2-40B4-BE49-F238E27FC236}">
              <a16:creationId xmlns:a16="http://schemas.microsoft.com/office/drawing/2014/main" id="{00000000-0008-0000-0500-0000AB02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684" name="Straight Connector 683">
          <a:extLst>
            <a:ext uri="{FF2B5EF4-FFF2-40B4-BE49-F238E27FC236}">
              <a16:creationId xmlns:a16="http://schemas.microsoft.com/office/drawing/2014/main" id="{00000000-0008-0000-0500-0000AC02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685" name="Straight Connector 684">
          <a:extLst>
            <a:ext uri="{FF2B5EF4-FFF2-40B4-BE49-F238E27FC236}">
              <a16:creationId xmlns:a16="http://schemas.microsoft.com/office/drawing/2014/main" id="{00000000-0008-0000-0500-0000AD02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686" name="Straight Connector 685">
          <a:extLst>
            <a:ext uri="{FF2B5EF4-FFF2-40B4-BE49-F238E27FC236}">
              <a16:creationId xmlns:a16="http://schemas.microsoft.com/office/drawing/2014/main" id="{00000000-0008-0000-0500-0000AE02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687" name="Straight Connector 686">
          <a:extLst>
            <a:ext uri="{FF2B5EF4-FFF2-40B4-BE49-F238E27FC236}">
              <a16:creationId xmlns:a16="http://schemas.microsoft.com/office/drawing/2014/main" id="{00000000-0008-0000-0500-0000AF02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22</xdr:row>
      <xdr:rowOff>34925</xdr:rowOff>
    </xdr:from>
    <xdr:to>
      <xdr:col>18</xdr:col>
      <xdr:colOff>9525</xdr:colOff>
      <xdr:row>23</xdr:row>
      <xdr:rowOff>0</xdr:rowOff>
    </xdr:to>
    <xdr:cxnSp macro="">
      <xdr:nvCxnSpPr>
        <xdr:cNvPr id="688" name="Straight Connector 687">
          <a:extLst>
            <a:ext uri="{FF2B5EF4-FFF2-40B4-BE49-F238E27FC236}">
              <a16:creationId xmlns:a16="http://schemas.microsoft.com/office/drawing/2014/main" id="{00000000-0008-0000-0500-0000B0020000}"/>
            </a:ext>
          </a:extLst>
        </xdr:cNvPr>
        <xdr:cNvCxnSpPr/>
      </xdr:nvCxnSpPr>
      <xdr:spPr bwMode="auto">
        <a:xfrm flipV="1">
          <a:off x="113252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689" name="Straight Connector 688">
          <a:extLst>
            <a:ext uri="{FF2B5EF4-FFF2-40B4-BE49-F238E27FC236}">
              <a16:creationId xmlns:a16="http://schemas.microsoft.com/office/drawing/2014/main" id="{00000000-0008-0000-0500-0000B102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690" name="Straight Connector 689">
          <a:extLst>
            <a:ext uri="{FF2B5EF4-FFF2-40B4-BE49-F238E27FC236}">
              <a16:creationId xmlns:a16="http://schemas.microsoft.com/office/drawing/2014/main" id="{00000000-0008-0000-0500-0000B202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691" name="Straight Connector 690">
          <a:extLst>
            <a:ext uri="{FF2B5EF4-FFF2-40B4-BE49-F238E27FC236}">
              <a16:creationId xmlns:a16="http://schemas.microsoft.com/office/drawing/2014/main" id="{00000000-0008-0000-0500-0000B302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692" name="Straight Connector 691">
          <a:extLst>
            <a:ext uri="{FF2B5EF4-FFF2-40B4-BE49-F238E27FC236}">
              <a16:creationId xmlns:a16="http://schemas.microsoft.com/office/drawing/2014/main" id="{00000000-0008-0000-0500-0000B402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693" name="Straight Connector 692">
          <a:extLst>
            <a:ext uri="{FF2B5EF4-FFF2-40B4-BE49-F238E27FC236}">
              <a16:creationId xmlns:a16="http://schemas.microsoft.com/office/drawing/2014/main" id="{00000000-0008-0000-0500-0000B502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694" name="Straight Connector 693">
          <a:extLst>
            <a:ext uri="{FF2B5EF4-FFF2-40B4-BE49-F238E27FC236}">
              <a16:creationId xmlns:a16="http://schemas.microsoft.com/office/drawing/2014/main" id="{00000000-0008-0000-0500-0000B602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695" name="Straight Connector 694">
          <a:extLst>
            <a:ext uri="{FF2B5EF4-FFF2-40B4-BE49-F238E27FC236}">
              <a16:creationId xmlns:a16="http://schemas.microsoft.com/office/drawing/2014/main" id="{00000000-0008-0000-0500-0000B702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696" name="Straight Connector 695">
          <a:extLst>
            <a:ext uri="{FF2B5EF4-FFF2-40B4-BE49-F238E27FC236}">
              <a16:creationId xmlns:a16="http://schemas.microsoft.com/office/drawing/2014/main" id="{00000000-0008-0000-0500-0000B802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697" name="Straight Connector 696">
          <a:extLst>
            <a:ext uri="{FF2B5EF4-FFF2-40B4-BE49-F238E27FC236}">
              <a16:creationId xmlns:a16="http://schemas.microsoft.com/office/drawing/2014/main" id="{00000000-0008-0000-0500-0000B902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24</xdr:row>
      <xdr:rowOff>34925</xdr:rowOff>
    </xdr:from>
    <xdr:to>
      <xdr:col>16</xdr:col>
      <xdr:colOff>9525</xdr:colOff>
      <xdr:row>25</xdr:row>
      <xdr:rowOff>0</xdr:rowOff>
    </xdr:to>
    <xdr:cxnSp macro="">
      <xdr:nvCxnSpPr>
        <xdr:cNvPr id="698" name="Straight Connector 697">
          <a:extLst>
            <a:ext uri="{FF2B5EF4-FFF2-40B4-BE49-F238E27FC236}">
              <a16:creationId xmlns:a16="http://schemas.microsoft.com/office/drawing/2014/main" id="{00000000-0008-0000-0500-0000BA020000}"/>
            </a:ext>
          </a:extLst>
        </xdr:cNvPr>
        <xdr:cNvCxnSpPr/>
      </xdr:nvCxnSpPr>
      <xdr:spPr bwMode="auto">
        <a:xfrm flipV="1">
          <a:off x="101060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699" name="Straight Connector 698">
          <a:extLst>
            <a:ext uri="{FF2B5EF4-FFF2-40B4-BE49-F238E27FC236}">
              <a16:creationId xmlns:a16="http://schemas.microsoft.com/office/drawing/2014/main" id="{00000000-0008-0000-0500-0000BB02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700" name="Straight Connector 699">
          <a:extLst>
            <a:ext uri="{FF2B5EF4-FFF2-40B4-BE49-F238E27FC236}">
              <a16:creationId xmlns:a16="http://schemas.microsoft.com/office/drawing/2014/main" id="{00000000-0008-0000-0500-0000BC02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701" name="Straight Connector 700">
          <a:extLst>
            <a:ext uri="{FF2B5EF4-FFF2-40B4-BE49-F238E27FC236}">
              <a16:creationId xmlns:a16="http://schemas.microsoft.com/office/drawing/2014/main" id="{00000000-0008-0000-0500-0000BD02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702" name="Straight Connector 701">
          <a:extLst>
            <a:ext uri="{FF2B5EF4-FFF2-40B4-BE49-F238E27FC236}">
              <a16:creationId xmlns:a16="http://schemas.microsoft.com/office/drawing/2014/main" id="{00000000-0008-0000-0500-0000BE02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703" name="Straight Connector 702">
          <a:extLst>
            <a:ext uri="{FF2B5EF4-FFF2-40B4-BE49-F238E27FC236}">
              <a16:creationId xmlns:a16="http://schemas.microsoft.com/office/drawing/2014/main" id="{00000000-0008-0000-0500-0000BF02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704" name="Straight Connector 703">
          <a:extLst>
            <a:ext uri="{FF2B5EF4-FFF2-40B4-BE49-F238E27FC236}">
              <a16:creationId xmlns:a16="http://schemas.microsoft.com/office/drawing/2014/main" id="{00000000-0008-0000-0500-0000C002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705" name="Straight Connector 704">
          <a:extLst>
            <a:ext uri="{FF2B5EF4-FFF2-40B4-BE49-F238E27FC236}">
              <a16:creationId xmlns:a16="http://schemas.microsoft.com/office/drawing/2014/main" id="{00000000-0008-0000-0500-0000C102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706" name="Straight Connector 705">
          <a:extLst>
            <a:ext uri="{FF2B5EF4-FFF2-40B4-BE49-F238E27FC236}">
              <a16:creationId xmlns:a16="http://schemas.microsoft.com/office/drawing/2014/main" id="{00000000-0008-0000-0500-0000C202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707" name="Straight Connector 706">
          <a:extLst>
            <a:ext uri="{FF2B5EF4-FFF2-40B4-BE49-F238E27FC236}">
              <a16:creationId xmlns:a16="http://schemas.microsoft.com/office/drawing/2014/main" id="{00000000-0008-0000-0500-0000C302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18</xdr:row>
      <xdr:rowOff>34925</xdr:rowOff>
    </xdr:from>
    <xdr:to>
      <xdr:col>22</xdr:col>
      <xdr:colOff>9525</xdr:colOff>
      <xdr:row>19</xdr:row>
      <xdr:rowOff>0</xdr:rowOff>
    </xdr:to>
    <xdr:cxnSp macro="">
      <xdr:nvCxnSpPr>
        <xdr:cNvPr id="708" name="Straight Connector 707">
          <a:extLst>
            <a:ext uri="{FF2B5EF4-FFF2-40B4-BE49-F238E27FC236}">
              <a16:creationId xmlns:a16="http://schemas.microsoft.com/office/drawing/2014/main" id="{00000000-0008-0000-0500-0000C4020000}"/>
            </a:ext>
          </a:extLst>
        </xdr:cNvPr>
        <xdr:cNvCxnSpPr/>
      </xdr:nvCxnSpPr>
      <xdr:spPr bwMode="auto">
        <a:xfrm flipV="1">
          <a:off x="13763625" y="29495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709" name="Straight Connector 708">
          <a:extLst>
            <a:ext uri="{FF2B5EF4-FFF2-40B4-BE49-F238E27FC236}">
              <a16:creationId xmlns:a16="http://schemas.microsoft.com/office/drawing/2014/main" id="{00000000-0008-0000-0500-0000C502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710" name="Straight Connector 709">
          <a:extLst>
            <a:ext uri="{FF2B5EF4-FFF2-40B4-BE49-F238E27FC236}">
              <a16:creationId xmlns:a16="http://schemas.microsoft.com/office/drawing/2014/main" id="{00000000-0008-0000-0500-0000C602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711" name="Straight Connector 710">
          <a:extLst>
            <a:ext uri="{FF2B5EF4-FFF2-40B4-BE49-F238E27FC236}">
              <a16:creationId xmlns:a16="http://schemas.microsoft.com/office/drawing/2014/main" id="{00000000-0008-0000-0500-0000C702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712" name="Straight Connector 711">
          <a:extLst>
            <a:ext uri="{FF2B5EF4-FFF2-40B4-BE49-F238E27FC236}">
              <a16:creationId xmlns:a16="http://schemas.microsoft.com/office/drawing/2014/main" id="{00000000-0008-0000-0500-0000C802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713" name="Straight Connector 712">
          <a:extLst>
            <a:ext uri="{FF2B5EF4-FFF2-40B4-BE49-F238E27FC236}">
              <a16:creationId xmlns:a16="http://schemas.microsoft.com/office/drawing/2014/main" id="{00000000-0008-0000-0500-0000C902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714" name="Straight Connector 713">
          <a:extLst>
            <a:ext uri="{FF2B5EF4-FFF2-40B4-BE49-F238E27FC236}">
              <a16:creationId xmlns:a16="http://schemas.microsoft.com/office/drawing/2014/main" id="{00000000-0008-0000-0500-0000CA02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715" name="Straight Connector 714">
          <a:extLst>
            <a:ext uri="{FF2B5EF4-FFF2-40B4-BE49-F238E27FC236}">
              <a16:creationId xmlns:a16="http://schemas.microsoft.com/office/drawing/2014/main" id="{00000000-0008-0000-0500-0000CB02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716" name="Straight Connector 715">
          <a:extLst>
            <a:ext uri="{FF2B5EF4-FFF2-40B4-BE49-F238E27FC236}">
              <a16:creationId xmlns:a16="http://schemas.microsoft.com/office/drawing/2014/main" id="{00000000-0008-0000-0500-0000CC02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717" name="Straight Connector 716">
          <a:extLst>
            <a:ext uri="{FF2B5EF4-FFF2-40B4-BE49-F238E27FC236}">
              <a16:creationId xmlns:a16="http://schemas.microsoft.com/office/drawing/2014/main" id="{00000000-0008-0000-0500-0000CD02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16</xdr:row>
      <xdr:rowOff>34925</xdr:rowOff>
    </xdr:from>
    <xdr:to>
      <xdr:col>24</xdr:col>
      <xdr:colOff>9525</xdr:colOff>
      <xdr:row>17</xdr:row>
      <xdr:rowOff>0</xdr:rowOff>
    </xdr:to>
    <xdr:cxnSp macro="">
      <xdr:nvCxnSpPr>
        <xdr:cNvPr id="718" name="Straight Connector 717">
          <a:extLst>
            <a:ext uri="{FF2B5EF4-FFF2-40B4-BE49-F238E27FC236}">
              <a16:creationId xmlns:a16="http://schemas.microsoft.com/office/drawing/2014/main" id="{00000000-0008-0000-0500-0000CE020000}"/>
            </a:ext>
          </a:extLst>
        </xdr:cNvPr>
        <xdr:cNvCxnSpPr/>
      </xdr:nvCxnSpPr>
      <xdr:spPr bwMode="auto">
        <a:xfrm flipV="1">
          <a:off x="14982825" y="26257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719" name="Straight Connector 718">
          <a:extLst>
            <a:ext uri="{FF2B5EF4-FFF2-40B4-BE49-F238E27FC236}">
              <a16:creationId xmlns:a16="http://schemas.microsoft.com/office/drawing/2014/main" id="{00000000-0008-0000-0500-0000CF02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720" name="Straight Connector 719">
          <a:extLst>
            <a:ext uri="{FF2B5EF4-FFF2-40B4-BE49-F238E27FC236}">
              <a16:creationId xmlns:a16="http://schemas.microsoft.com/office/drawing/2014/main" id="{00000000-0008-0000-0500-0000D002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721" name="Straight Connector 720">
          <a:extLst>
            <a:ext uri="{FF2B5EF4-FFF2-40B4-BE49-F238E27FC236}">
              <a16:creationId xmlns:a16="http://schemas.microsoft.com/office/drawing/2014/main" id="{00000000-0008-0000-0500-0000D102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722" name="Straight Connector 721">
          <a:extLst>
            <a:ext uri="{FF2B5EF4-FFF2-40B4-BE49-F238E27FC236}">
              <a16:creationId xmlns:a16="http://schemas.microsoft.com/office/drawing/2014/main" id="{00000000-0008-0000-0500-0000D202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723" name="Straight Connector 722">
          <a:extLst>
            <a:ext uri="{FF2B5EF4-FFF2-40B4-BE49-F238E27FC236}">
              <a16:creationId xmlns:a16="http://schemas.microsoft.com/office/drawing/2014/main" id="{00000000-0008-0000-0500-0000D302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724" name="Straight Connector 723">
          <a:extLst>
            <a:ext uri="{FF2B5EF4-FFF2-40B4-BE49-F238E27FC236}">
              <a16:creationId xmlns:a16="http://schemas.microsoft.com/office/drawing/2014/main" id="{00000000-0008-0000-0500-0000D402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725" name="Straight Connector 724">
          <a:extLst>
            <a:ext uri="{FF2B5EF4-FFF2-40B4-BE49-F238E27FC236}">
              <a16:creationId xmlns:a16="http://schemas.microsoft.com/office/drawing/2014/main" id="{00000000-0008-0000-0500-0000D502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726" name="Straight Connector 725">
          <a:extLst>
            <a:ext uri="{FF2B5EF4-FFF2-40B4-BE49-F238E27FC236}">
              <a16:creationId xmlns:a16="http://schemas.microsoft.com/office/drawing/2014/main" id="{00000000-0008-0000-0500-0000D602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727" name="Straight Connector 726">
          <a:extLst>
            <a:ext uri="{FF2B5EF4-FFF2-40B4-BE49-F238E27FC236}">
              <a16:creationId xmlns:a16="http://schemas.microsoft.com/office/drawing/2014/main" id="{00000000-0008-0000-0500-0000D702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20</xdr:row>
      <xdr:rowOff>34925</xdr:rowOff>
    </xdr:from>
    <xdr:to>
      <xdr:col>24</xdr:col>
      <xdr:colOff>9525</xdr:colOff>
      <xdr:row>21</xdr:row>
      <xdr:rowOff>0</xdr:rowOff>
    </xdr:to>
    <xdr:cxnSp macro="">
      <xdr:nvCxnSpPr>
        <xdr:cNvPr id="728" name="Straight Connector 727">
          <a:extLst>
            <a:ext uri="{FF2B5EF4-FFF2-40B4-BE49-F238E27FC236}">
              <a16:creationId xmlns:a16="http://schemas.microsoft.com/office/drawing/2014/main" id="{00000000-0008-0000-0500-0000D8020000}"/>
            </a:ext>
          </a:extLst>
        </xdr:cNvPr>
        <xdr:cNvCxnSpPr/>
      </xdr:nvCxnSpPr>
      <xdr:spPr bwMode="auto">
        <a:xfrm flipV="1">
          <a:off x="14982825" y="32734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729" name="Straight Connector 728">
          <a:extLst>
            <a:ext uri="{FF2B5EF4-FFF2-40B4-BE49-F238E27FC236}">
              <a16:creationId xmlns:a16="http://schemas.microsoft.com/office/drawing/2014/main" id="{00000000-0008-0000-0500-0000D902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730" name="Straight Connector 729">
          <a:extLst>
            <a:ext uri="{FF2B5EF4-FFF2-40B4-BE49-F238E27FC236}">
              <a16:creationId xmlns:a16="http://schemas.microsoft.com/office/drawing/2014/main" id="{00000000-0008-0000-0500-0000DA02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731" name="Straight Connector 730">
          <a:extLst>
            <a:ext uri="{FF2B5EF4-FFF2-40B4-BE49-F238E27FC236}">
              <a16:creationId xmlns:a16="http://schemas.microsoft.com/office/drawing/2014/main" id="{00000000-0008-0000-0500-0000DB02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732" name="Straight Connector 731">
          <a:extLst>
            <a:ext uri="{FF2B5EF4-FFF2-40B4-BE49-F238E27FC236}">
              <a16:creationId xmlns:a16="http://schemas.microsoft.com/office/drawing/2014/main" id="{00000000-0008-0000-0500-0000DC02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733" name="Straight Connector 732">
          <a:extLst>
            <a:ext uri="{FF2B5EF4-FFF2-40B4-BE49-F238E27FC236}">
              <a16:creationId xmlns:a16="http://schemas.microsoft.com/office/drawing/2014/main" id="{00000000-0008-0000-0500-0000DD02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734" name="Straight Connector 733">
          <a:extLst>
            <a:ext uri="{FF2B5EF4-FFF2-40B4-BE49-F238E27FC236}">
              <a16:creationId xmlns:a16="http://schemas.microsoft.com/office/drawing/2014/main" id="{00000000-0008-0000-0500-0000DE02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735" name="Straight Connector 734">
          <a:extLst>
            <a:ext uri="{FF2B5EF4-FFF2-40B4-BE49-F238E27FC236}">
              <a16:creationId xmlns:a16="http://schemas.microsoft.com/office/drawing/2014/main" id="{00000000-0008-0000-0500-0000DF02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736" name="Straight Connector 735">
          <a:extLst>
            <a:ext uri="{FF2B5EF4-FFF2-40B4-BE49-F238E27FC236}">
              <a16:creationId xmlns:a16="http://schemas.microsoft.com/office/drawing/2014/main" id="{00000000-0008-0000-0500-0000E002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737" name="Straight Connector 736">
          <a:extLst>
            <a:ext uri="{FF2B5EF4-FFF2-40B4-BE49-F238E27FC236}">
              <a16:creationId xmlns:a16="http://schemas.microsoft.com/office/drawing/2014/main" id="{00000000-0008-0000-0500-0000E102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22</xdr:row>
      <xdr:rowOff>34925</xdr:rowOff>
    </xdr:from>
    <xdr:to>
      <xdr:col>22</xdr:col>
      <xdr:colOff>9525</xdr:colOff>
      <xdr:row>23</xdr:row>
      <xdr:rowOff>0</xdr:rowOff>
    </xdr:to>
    <xdr:cxnSp macro="">
      <xdr:nvCxnSpPr>
        <xdr:cNvPr id="738" name="Straight Connector 737">
          <a:extLst>
            <a:ext uri="{FF2B5EF4-FFF2-40B4-BE49-F238E27FC236}">
              <a16:creationId xmlns:a16="http://schemas.microsoft.com/office/drawing/2014/main" id="{00000000-0008-0000-0500-0000E2020000}"/>
            </a:ext>
          </a:extLst>
        </xdr:cNvPr>
        <xdr:cNvCxnSpPr/>
      </xdr:nvCxnSpPr>
      <xdr:spPr bwMode="auto">
        <a:xfrm flipV="1">
          <a:off x="13763625" y="35972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739" name="Straight Connector 738">
          <a:extLst>
            <a:ext uri="{FF2B5EF4-FFF2-40B4-BE49-F238E27FC236}">
              <a16:creationId xmlns:a16="http://schemas.microsoft.com/office/drawing/2014/main" id="{00000000-0008-0000-0500-0000E302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740" name="Straight Connector 739">
          <a:extLst>
            <a:ext uri="{FF2B5EF4-FFF2-40B4-BE49-F238E27FC236}">
              <a16:creationId xmlns:a16="http://schemas.microsoft.com/office/drawing/2014/main" id="{00000000-0008-0000-0500-0000E402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741" name="Straight Connector 740">
          <a:extLst>
            <a:ext uri="{FF2B5EF4-FFF2-40B4-BE49-F238E27FC236}">
              <a16:creationId xmlns:a16="http://schemas.microsoft.com/office/drawing/2014/main" id="{00000000-0008-0000-0500-0000E502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742" name="Straight Connector 741">
          <a:extLst>
            <a:ext uri="{FF2B5EF4-FFF2-40B4-BE49-F238E27FC236}">
              <a16:creationId xmlns:a16="http://schemas.microsoft.com/office/drawing/2014/main" id="{00000000-0008-0000-0500-0000E602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743" name="Straight Connector 742">
          <a:extLst>
            <a:ext uri="{FF2B5EF4-FFF2-40B4-BE49-F238E27FC236}">
              <a16:creationId xmlns:a16="http://schemas.microsoft.com/office/drawing/2014/main" id="{00000000-0008-0000-0500-0000E702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744" name="Straight Connector 743">
          <a:extLst>
            <a:ext uri="{FF2B5EF4-FFF2-40B4-BE49-F238E27FC236}">
              <a16:creationId xmlns:a16="http://schemas.microsoft.com/office/drawing/2014/main" id="{00000000-0008-0000-0500-0000E802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745" name="Straight Connector 744">
          <a:extLst>
            <a:ext uri="{FF2B5EF4-FFF2-40B4-BE49-F238E27FC236}">
              <a16:creationId xmlns:a16="http://schemas.microsoft.com/office/drawing/2014/main" id="{00000000-0008-0000-0500-0000E902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746" name="Straight Connector 745">
          <a:extLst>
            <a:ext uri="{FF2B5EF4-FFF2-40B4-BE49-F238E27FC236}">
              <a16:creationId xmlns:a16="http://schemas.microsoft.com/office/drawing/2014/main" id="{00000000-0008-0000-0500-0000EA02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747" name="Straight Connector 746">
          <a:extLst>
            <a:ext uri="{FF2B5EF4-FFF2-40B4-BE49-F238E27FC236}">
              <a16:creationId xmlns:a16="http://schemas.microsoft.com/office/drawing/2014/main" id="{00000000-0008-0000-0500-0000EB02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24</xdr:row>
      <xdr:rowOff>34925</xdr:rowOff>
    </xdr:from>
    <xdr:to>
      <xdr:col>20</xdr:col>
      <xdr:colOff>9525</xdr:colOff>
      <xdr:row>25</xdr:row>
      <xdr:rowOff>0</xdr:rowOff>
    </xdr:to>
    <xdr:cxnSp macro="">
      <xdr:nvCxnSpPr>
        <xdr:cNvPr id="748" name="Straight Connector 747">
          <a:extLst>
            <a:ext uri="{FF2B5EF4-FFF2-40B4-BE49-F238E27FC236}">
              <a16:creationId xmlns:a16="http://schemas.microsoft.com/office/drawing/2014/main" id="{00000000-0008-0000-0500-0000EC020000}"/>
            </a:ext>
          </a:extLst>
        </xdr:cNvPr>
        <xdr:cNvCxnSpPr/>
      </xdr:nvCxnSpPr>
      <xdr:spPr bwMode="auto">
        <a:xfrm flipV="1">
          <a:off x="125444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749" name="Straight Connector 748">
          <a:extLst>
            <a:ext uri="{FF2B5EF4-FFF2-40B4-BE49-F238E27FC236}">
              <a16:creationId xmlns:a16="http://schemas.microsoft.com/office/drawing/2014/main" id="{00000000-0008-0000-0500-0000ED02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750" name="Straight Connector 749">
          <a:extLst>
            <a:ext uri="{FF2B5EF4-FFF2-40B4-BE49-F238E27FC236}">
              <a16:creationId xmlns:a16="http://schemas.microsoft.com/office/drawing/2014/main" id="{00000000-0008-0000-0500-0000EE02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751" name="Straight Connector 750">
          <a:extLst>
            <a:ext uri="{FF2B5EF4-FFF2-40B4-BE49-F238E27FC236}">
              <a16:creationId xmlns:a16="http://schemas.microsoft.com/office/drawing/2014/main" id="{00000000-0008-0000-0500-0000EF02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752" name="Straight Connector 751">
          <a:extLst>
            <a:ext uri="{FF2B5EF4-FFF2-40B4-BE49-F238E27FC236}">
              <a16:creationId xmlns:a16="http://schemas.microsoft.com/office/drawing/2014/main" id="{00000000-0008-0000-0500-0000F002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753" name="Straight Connector 752">
          <a:extLst>
            <a:ext uri="{FF2B5EF4-FFF2-40B4-BE49-F238E27FC236}">
              <a16:creationId xmlns:a16="http://schemas.microsoft.com/office/drawing/2014/main" id="{00000000-0008-0000-0500-0000F102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754" name="Straight Connector 753">
          <a:extLst>
            <a:ext uri="{FF2B5EF4-FFF2-40B4-BE49-F238E27FC236}">
              <a16:creationId xmlns:a16="http://schemas.microsoft.com/office/drawing/2014/main" id="{00000000-0008-0000-0500-0000F202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755" name="Straight Connector 754">
          <a:extLst>
            <a:ext uri="{FF2B5EF4-FFF2-40B4-BE49-F238E27FC236}">
              <a16:creationId xmlns:a16="http://schemas.microsoft.com/office/drawing/2014/main" id="{00000000-0008-0000-0500-0000F302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756" name="Straight Connector 755">
          <a:extLst>
            <a:ext uri="{FF2B5EF4-FFF2-40B4-BE49-F238E27FC236}">
              <a16:creationId xmlns:a16="http://schemas.microsoft.com/office/drawing/2014/main" id="{00000000-0008-0000-0500-0000F402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757" name="Straight Connector 756">
          <a:extLst>
            <a:ext uri="{FF2B5EF4-FFF2-40B4-BE49-F238E27FC236}">
              <a16:creationId xmlns:a16="http://schemas.microsoft.com/office/drawing/2014/main" id="{00000000-0008-0000-0500-0000F502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26</xdr:row>
      <xdr:rowOff>34925</xdr:rowOff>
    </xdr:from>
    <xdr:to>
      <xdr:col>18</xdr:col>
      <xdr:colOff>9525</xdr:colOff>
      <xdr:row>27</xdr:row>
      <xdr:rowOff>0</xdr:rowOff>
    </xdr:to>
    <xdr:cxnSp macro="">
      <xdr:nvCxnSpPr>
        <xdr:cNvPr id="758" name="Straight Connector 757">
          <a:extLst>
            <a:ext uri="{FF2B5EF4-FFF2-40B4-BE49-F238E27FC236}">
              <a16:creationId xmlns:a16="http://schemas.microsoft.com/office/drawing/2014/main" id="{00000000-0008-0000-0500-0000F6020000}"/>
            </a:ext>
          </a:extLst>
        </xdr:cNvPr>
        <xdr:cNvCxnSpPr/>
      </xdr:nvCxnSpPr>
      <xdr:spPr bwMode="auto">
        <a:xfrm flipV="1">
          <a:off x="113252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759" name="Straight Connector 758">
          <a:extLst>
            <a:ext uri="{FF2B5EF4-FFF2-40B4-BE49-F238E27FC236}">
              <a16:creationId xmlns:a16="http://schemas.microsoft.com/office/drawing/2014/main" id="{00000000-0008-0000-0500-0000F702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760" name="Straight Connector 759">
          <a:extLst>
            <a:ext uri="{FF2B5EF4-FFF2-40B4-BE49-F238E27FC236}">
              <a16:creationId xmlns:a16="http://schemas.microsoft.com/office/drawing/2014/main" id="{00000000-0008-0000-0500-0000F802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761" name="Straight Connector 760">
          <a:extLst>
            <a:ext uri="{FF2B5EF4-FFF2-40B4-BE49-F238E27FC236}">
              <a16:creationId xmlns:a16="http://schemas.microsoft.com/office/drawing/2014/main" id="{00000000-0008-0000-0500-0000F902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762" name="Straight Connector 761">
          <a:extLst>
            <a:ext uri="{FF2B5EF4-FFF2-40B4-BE49-F238E27FC236}">
              <a16:creationId xmlns:a16="http://schemas.microsoft.com/office/drawing/2014/main" id="{00000000-0008-0000-0500-0000FA02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763" name="Straight Connector 762">
          <a:extLst>
            <a:ext uri="{FF2B5EF4-FFF2-40B4-BE49-F238E27FC236}">
              <a16:creationId xmlns:a16="http://schemas.microsoft.com/office/drawing/2014/main" id="{00000000-0008-0000-0500-0000FB02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764" name="Straight Connector 763">
          <a:extLst>
            <a:ext uri="{FF2B5EF4-FFF2-40B4-BE49-F238E27FC236}">
              <a16:creationId xmlns:a16="http://schemas.microsoft.com/office/drawing/2014/main" id="{00000000-0008-0000-0500-0000FC02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765" name="Straight Connector 764">
          <a:extLst>
            <a:ext uri="{FF2B5EF4-FFF2-40B4-BE49-F238E27FC236}">
              <a16:creationId xmlns:a16="http://schemas.microsoft.com/office/drawing/2014/main" id="{00000000-0008-0000-0500-0000FD02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766" name="Straight Connector 765">
          <a:extLst>
            <a:ext uri="{FF2B5EF4-FFF2-40B4-BE49-F238E27FC236}">
              <a16:creationId xmlns:a16="http://schemas.microsoft.com/office/drawing/2014/main" id="{00000000-0008-0000-0500-0000FE02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767" name="Straight Connector 766">
          <a:extLst>
            <a:ext uri="{FF2B5EF4-FFF2-40B4-BE49-F238E27FC236}">
              <a16:creationId xmlns:a16="http://schemas.microsoft.com/office/drawing/2014/main" id="{00000000-0008-0000-0500-0000FF02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34925</xdr:rowOff>
    </xdr:from>
    <xdr:to>
      <xdr:col>16</xdr:col>
      <xdr:colOff>9525</xdr:colOff>
      <xdr:row>29</xdr:row>
      <xdr:rowOff>0</xdr:rowOff>
    </xdr:to>
    <xdr:cxnSp macro="">
      <xdr:nvCxnSpPr>
        <xdr:cNvPr id="768" name="Straight Connector 767">
          <a:extLst>
            <a:ext uri="{FF2B5EF4-FFF2-40B4-BE49-F238E27FC236}">
              <a16:creationId xmlns:a16="http://schemas.microsoft.com/office/drawing/2014/main" id="{00000000-0008-0000-0500-000000030000}"/>
            </a:ext>
          </a:extLst>
        </xdr:cNvPr>
        <xdr:cNvCxnSpPr/>
      </xdr:nvCxnSpPr>
      <xdr:spPr bwMode="auto">
        <a:xfrm flipV="1">
          <a:off x="101060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769" name="Straight Connector 768">
          <a:extLst>
            <a:ext uri="{FF2B5EF4-FFF2-40B4-BE49-F238E27FC236}">
              <a16:creationId xmlns:a16="http://schemas.microsoft.com/office/drawing/2014/main" id="{00000000-0008-0000-0500-00000103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770" name="Straight Connector 769">
          <a:extLst>
            <a:ext uri="{FF2B5EF4-FFF2-40B4-BE49-F238E27FC236}">
              <a16:creationId xmlns:a16="http://schemas.microsoft.com/office/drawing/2014/main" id="{00000000-0008-0000-0500-00000203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771" name="Straight Connector 770">
          <a:extLst>
            <a:ext uri="{FF2B5EF4-FFF2-40B4-BE49-F238E27FC236}">
              <a16:creationId xmlns:a16="http://schemas.microsoft.com/office/drawing/2014/main" id="{00000000-0008-0000-0500-00000303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772" name="Straight Connector 771">
          <a:extLst>
            <a:ext uri="{FF2B5EF4-FFF2-40B4-BE49-F238E27FC236}">
              <a16:creationId xmlns:a16="http://schemas.microsoft.com/office/drawing/2014/main" id="{00000000-0008-0000-0500-00000403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773" name="Straight Connector 772">
          <a:extLst>
            <a:ext uri="{FF2B5EF4-FFF2-40B4-BE49-F238E27FC236}">
              <a16:creationId xmlns:a16="http://schemas.microsoft.com/office/drawing/2014/main" id="{00000000-0008-0000-0500-00000503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774" name="Straight Connector 773">
          <a:extLst>
            <a:ext uri="{FF2B5EF4-FFF2-40B4-BE49-F238E27FC236}">
              <a16:creationId xmlns:a16="http://schemas.microsoft.com/office/drawing/2014/main" id="{00000000-0008-0000-0500-00000603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775" name="Straight Connector 774">
          <a:extLst>
            <a:ext uri="{FF2B5EF4-FFF2-40B4-BE49-F238E27FC236}">
              <a16:creationId xmlns:a16="http://schemas.microsoft.com/office/drawing/2014/main" id="{00000000-0008-0000-0500-00000703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776" name="Straight Connector 775">
          <a:extLst>
            <a:ext uri="{FF2B5EF4-FFF2-40B4-BE49-F238E27FC236}">
              <a16:creationId xmlns:a16="http://schemas.microsoft.com/office/drawing/2014/main" id="{00000000-0008-0000-0500-00000803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777" name="Straight Connector 776">
          <a:extLst>
            <a:ext uri="{FF2B5EF4-FFF2-40B4-BE49-F238E27FC236}">
              <a16:creationId xmlns:a16="http://schemas.microsoft.com/office/drawing/2014/main" id="{00000000-0008-0000-0500-00000903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28</xdr:row>
      <xdr:rowOff>34925</xdr:rowOff>
    </xdr:from>
    <xdr:to>
      <xdr:col>20</xdr:col>
      <xdr:colOff>9525</xdr:colOff>
      <xdr:row>29</xdr:row>
      <xdr:rowOff>0</xdr:rowOff>
    </xdr:to>
    <xdr:cxnSp macro="">
      <xdr:nvCxnSpPr>
        <xdr:cNvPr id="778" name="Straight Connector 777">
          <a:extLst>
            <a:ext uri="{FF2B5EF4-FFF2-40B4-BE49-F238E27FC236}">
              <a16:creationId xmlns:a16="http://schemas.microsoft.com/office/drawing/2014/main" id="{00000000-0008-0000-0500-00000A030000}"/>
            </a:ext>
          </a:extLst>
        </xdr:cNvPr>
        <xdr:cNvCxnSpPr/>
      </xdr:nvCxnSpPr>
      <xdr:spPr bwMode="auto">
        <a:xfrm flipV="1">
          <a:off x="125444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779" name="Straight Connector 778">
          <a:extLst>
            <a:ext uri="{FF2B5EF4-FFF2-40B4-BE49-F238E27FC236}">
              <a16:creationId xmlns:a16="http://schemas.microsoft.com/office/drawing/2014/main" id="{00000000-0008-0000-0500-00000B03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780" name="Straight Connector 779">
          <a:extLst>
            <a:ext uri="{FF2B5EF4-FFF2-40B4-BE49-F238E27FC236}">
              <a16:creationId xmlns:a16="http://schemas.microsoft.com/office/drawing/2014/main" id="{00000000-0008-0000-0500-00000C03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781" name="Straight Connector 780">
          <a:extLst>
            <a:ext uri="{FF2B5EF4-FFF2-40B4-BE49-F238E27FC236}">
              <a16:creationId xmlns:a16="http://schemas.microsoft.com/office/drawing/2014/main" id="{00000000-0008-0000-0500-00000D03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782" name="Straight Connector 781">
          <a:extLst>
            <a:ext uri="{FF2B5EF4-FFF2-40B4-BE49-F238E27FC236}">
              <a16:creationId xmlns:a16="http://schemas.microsoft.com/office/drawing/2014/main" id="{00000000-0008-0000-0500-00000E03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783" name="Straight Connector 782">
          <a:extLst>
            <a:ext uri="{FF2B5EF4-FFF2-40B4-BE49-F238E27FC236}">
              <a16:creationId xmlns:a16="http://schemas.microsoft.com/office/drawing/2014/main" id="{00000000-0008-0000-0500-00000F03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784" name="Straight Connector 783">
          <a:extLst>
            <a:ext uri="{FF2B5EF4-FFF2-40B4-BE49-F238E27FC236}">
              <a16:creationId xmlns:a16="http://schemas.microsoft.com/office/drawing/2014/main" id="{00000000-0008-0000-0500-00001003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785" name="Straight Connector 784">
          <a:extLst>
            <a:ext uri="{FF2B5EF4-FFF2-40B4-BE49-F238E27FC236}">
              <a16:creationId xmlns:a16="http://schemas.microsoft.com/office/drawing/2014/main" id="{00000000-0008-0000-0500-00001103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786" name="Straight Connector 785">
          <a:extLst>
            <a:ext uri="{FF2B5EF4-FFF2-40B4-BE49-F238E27FC236}">
              <a16:creationId xmlns:a16="http://schemas.microsoft.com/office/drawing/2014/main" id="{00000000-0008-0000-0500-00001203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787" name="Straight Connector 786">
          <a:extLst>
            <a:ext uri="{FF2B5EF4-FFF2-40B4-BE49-F238E27FC236}">
              <a16:creationId xmlns:a16="http://schemas.microsoft.com/office/drawing/2014/main" id="{00000000-0008-0000-0500-00001303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26</xdr:row>
      <xdr:rowOff>34925</xdr:rowOff>
    </xdr:from>
    <xdr:to>
      <xdr:col>22</xdr:col>
      <xdr:colOff>9525</xdr:colOff>
      <xdr:row>27</xdr:row>
      <xdr:rowOff>0</xdr:rowOff>
    </xdr:to>
    <xdr:cxnSp macro="">
      <xdr:nvCxnSpPr>
        <xdr:cNvPr id="788" name="Straight Connector 787">
          <a:extLst>
            <a:ext uri="{FF2B5EF4-FFF2-40B4-BE49-F238E27FC236}">
              <a16:creationId xmlns:a16="http://schemas.microsoft.com/office/drawing/2014/main" id="{00000000-0008-0000-0500-000014030000}"/>
            </a:ext>
          </a:extLst>
        </xdr:cNvPr>
        <xdr:cNvCxnSpPr/>
      </xdr:nvCxnSpPr>
      <xdr:spPr bwMode="auto">
        <a:xfrm flipV="1">
          <a:off x="137636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789" name="Straight Connector 788">
          <a:extLst>
            <a:ext uri="{FF2B5EF4-FFF2-40B4-BE49-F238E27FC236}">
              <a16:creationId xmlns:a16="http://schemas.microsoft.com/office/drawing/2014/main" id="{00000000-0008-0000-0500-00001503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790" name="Straight Connector 789">
          <a:extLst>
            <a:ext uri="{FF2B5EF4-FFF2-40B4-BE49-F238E27FC236}">
              <a16:creationId xmlns:a16="http://schemas.microsoft.com/office/drawing/2014/main" id="{00000000-0008-0000-0500-00001603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791" name="Straight Connector 790">
          <a:extLst>
            <a:ext uri="{FF2B5EF4-FFF2-40B4-BE49-F238E27FC236}">
              <a16:creationId xmlns:a16="http://schemas.microsoft.com/office/drawing/2014/main" id="{00000000-0008-0000-0500-00001703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792" name="Straight Connector 791">
          <a:extLst>
            <a:ext uri="{FF2B5EF4-FFF2-40B4-BE49-F238E27FC236}">
              <a16:creationId xmlns:a16="http://schemas.microsoft.com/office/drawing/2014/main" id="{00000000-0008-0000-0500-00001803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793" name="Straight Connector 792">
          <a:extLst>
            <a:ext uri="{FF2B5EF4-FFF2-40B4-BE49-F238E27FC236}">
              <a16:creationId xmlns:a16="http://schemas.microsoft.com/office/drawing/2014/main" id="{00000000-0008-0000-0500-00001903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794" name="Straight Connector 793">
          <a:extLst>
            <a:ext uri="{FF2B5EF4-FFF2-40B4-BE49-F238E27FC236}">
              <a16:creationId xmlns:a16="http://schemas.microsoft.com/office/drawing/2014/main" id="{00000000-0008-0000-0500-00001A03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795" name="Straight Connector 794">
          <a:extLst>
            <a:ext uri="{FF2B5EF4-FFF2-40B4-BE49-F238E27FC236}">
              <a16:creationId xmlns:a16="http://schemas.microsoft.com/office/drawing/2014/main" id="{00000000-0008-0000-0500-00001B03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796" name="Straight Connector 795">
          <a:extLst>
            <a:ext uri="{FF2B5EF4-FFF2-40B4-BE49-F238E27FC236}">
              <a16:creationId xmlns:a16="http://schemas.microsoft.com/office/drawing/2014/main" id="{00000000-0008-0000-0500-00001C03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797" name="Straight Connector 796">
          <a:extLst>
            <a:ext uri="{FF2B5EF4-FFF2-40B4-BE49-F238E27FC236}">
              <a16:creationId xmlns:a16="http://schemas.microsoft.com/office/drawing/2014/main" id="{00000000-0008-0000-0500-00001D03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24</xdr:row>
      <xdr:rowOff>34925</xdr:rowOff>
    </xdr:from>
    <xdr:to>
      <xdr:col>24</xdr:col>
      <xdr:colOff>9525</xdr:colOff>
      <xdr:row>25</xdr:row>
      <xdr:rowOff>0</xdr:rowOff>
    </xdr:to>
    <xdr:cxnSp macro="">
      <xdr:nvCxnSpPr>
        <xdr:cNvPr id="798" name="Straight Connector 797">
          <a:extLst>
            <a:ext uri="{FF2B5EF4-FFF2-40B4-BE49-F238E27FC236}">
              <a16:creationId xmlns:a16="http://schemas.microsoft.com/office/drawing/2014/main" id="{00000000-0008-0000-0500-00001E030000}"/>
            </a:ext>
          </a:extLst>
        </xdr:cNvPr>
        <xdr:cNvCxnSpPr/>
      </xdr:nvCxnSpPr>
      <xdr:spPr bwMode="auto">
        <a:xfrm flipV="1">
          <a:off x="149828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799" name="Straight Connector 798">
          <a:extLst>
            <a:ext uri="{FF2B5EF4-FFF2-40B4-BE49-F238E27FC236}">
              <a16:creationId xmlns:a16="http://schemas.microsoft.com/office/drawing/2014/main" id="{00000000-0008-0000-0500-00001F03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800" name="Straight Connector 799">
          <a:extLst>
            <a:ext uri="{FF2B5EF4-FFF2-40B4-BE49-F238E27FC236}">
              <a16:creationId xmlns:a16="http://schemas.microsoft.com/office/drawing/2014/main" id="{00000000-0008-0000-0500-00002003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801" name="Straight Connector 800">
          <a:extLst>
            <a:ext uri="{FF2B5EF4-FFF2-40B4-BE49-F238E27FC236}">
              <a16:creationId xmlns:a16="http://schemas.microsoft.com/office/drawing/2014/main" id="{00000000-0008-0000-0500-00002103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802" name="Straight Connector 801">
          <a:extLst>
            <a:ext uri="{FF2B5EF4-FFF2-40B4-BE49-F238E27FC236}">
              <a16:creationId xmlns:a16="http://schemas.microsoft.com/office/drawing/2014/main" id="{00000000-0008-0000-0500-00002203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803" name="Straight Connector 802">
          <a:extLst>
            <a:ext uri="{FF2B5EF4-FFF2-40B4-BE49-F238E27FC236}">
              <a16:creationId xmlns:a16="http://schemas.microsoft.com/office/drawing/2014/main" id="{00000000-0008-0000-0500-00002303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804" name="Straight Connector 803">
          <a:extLst>
            <a:ext uri="{FF2B5EF4-FFF2-40B4-BE49-F238E27FC236}">
              <a16:creationId xmlns:a16="http://schemas.microsoft.com/office/drawing/2014/main" id="{00000000-0008-0000-0500-00002403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805" name="Straight Connector 804">
          <a:extLst>
            <a:ext uri="{FF2B5EF4-FFF2-40B4-BE49-F238E27FC236}">
              <a16:creationId xmlns:a16="http://schemas.microsoft.com/office/drawing/2014/main" id="{00000000-0008-0000-0500-00002503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806" name="Straight Connector 805">
          <a:extLst>
            <a:ext uri="{FF2B5EF4-FFF2-40B4-BE49-F238E27FC236}">
              <a16:creationId xmlns:a16="http://schemas.microsoft.com/office/drawing/2014/main" id="{00000000-0008-0000-0500-00002603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807" name="Straight Connector 806">
          <a:extLst>
            <a:ext uri="{FF2B5EF4-FFF2-40B4-BE49-F238E27FC236}">
              <a16:creationId xmlns:a16="http://schemas.microsoft.com/office/drawing/2014/main" id="{00000000-0008-0000-0500-00002703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28</xdr:row>
      <xdr:rowOff>34925</xdr:rowOff>
    </xdr:from>
    <xdr:to>
      <xdr:col>24</xdr:col>
      <xdr:colOff>9525</xdr:colOff>
      <xdr:row>29</xdr:row>
      <xdr:rowOff>0</xdr:rowOff>
    </xdr:to>
    <xdr:cxnSp macro="">
      <xdr:nvCxnSpPr>
        <xdr:cNvPr id="808" name="Straight Connector 807">
          <a:extLst>
            <a:ext uri="{FF2B5EF4-FFF2-40B4-BE49-F238E27FC236}">
              <a16:creationId xmlns:a16="http://schemas.microsoft.com/office/drawing/2014/main" id="{00000000-0008-0000-0500-000028030000}"/>
            </a:ext>
          </a:extLst>
        </xdr:cNvPr>
        <xdr:cNvCxnSpPr/>
      </xdr:nvCxnSpPr>
      <xdr:spPr bwMode="auto">
        <a:xfrm flipV="1">
          <a:off x="149828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809" name="Straight Connector 808">
          <a:extLst>
            <a:ext uri="{FF2B5EF4-FFF2-40B4-BE49-F238E27FC236}">
              <a16:creationId xmlns:a16="http://schemas.microsoft.com/office/drawing/2014/main" id="{00000000-0008-0000-0500-00002903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810" name="Straight Connector 809">
          <a:extLst>
            <a:ext uri="{FF2B5EF4-FFF2-40B4-BE49-F238E27FC236}">
              <a16:creationId xmlns:a16="http://schemas.microsoft.com/office/drawing/2014/main" id="{00000000-0008-0000-0500-00002A03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811" name="Straight Connector 810">
          <a:extLst>
            <a:ext uri="{FF2B5EF4-FFF2-40B4-BE49-F238E27FC236}">
              <a16:creationId xmlns:a16="http://schemas.microsoft.com/office/drawing/2014/main" id="{00000000-0008-0000-0500-00002B03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812" name="Straight Connector 811">
          <a:extLst>
            <a:ext uri="{FF2B5EF4-FFF2-40B4-BE49-F238E27FC236}">
              <a16:creationId xmlns:a16="http://schemas.microsoft.com/office/drawing/2014/main" id="{00000000-0008-0000-0500-00002C03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813" name="Straight Connector 812">
          <a:extLst>
            <a:ext uri="{FF2B5EF4-FFF2-40B4-BE49-F238E27FC236}">
              <a16:creationId xmlns:a16="http://schemas.microsoft.com/office/drawing/2014/main" id="{00000000-0008-0000-0500-00002D03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814" name="Straight Connector 813">
          <a:extLst>
            <a:ext uri="{FF2B5EF4-FFF2-40B4-BE49-F238E27FC236}">
              <a16:creationId xmlns:a16="http://schemas.microsoft.com/office/drawing/2014/main" id="{00000000-0008-0000-0500-00002E03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815" name="Straight Connector 814">
          <a:extLst>
            <a:ext uri="{FF2B5EF4-FFF2-40B4-BE49-F238E27FC236}">
              <a16:creationId xmlns:a16="http://schemas.microsoft.com/office/drawing/2014/main" id="{00000000-0008-0000-0500-00002F03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816" name="Straight Connector 815">
          <a:extLst>
            <a:ext uri="{FF2B5EF4-FFF2-40B4-BE49-F238E27FC236}">
              <a16:creationId xmlns:a16="http://schemas.microsoft.com/office/drawing/2014/main" id="{00000000-0008-0000-0500-00003003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817" name="Straight Connector 816">
          <a:extLst>
            <a:ext uri="{FF2B5EF4-FFF2-40B4-BE49-F238E27FC236}">
              <a16:creationId xmlns:a16="http://schemas.microsoft.com/office/drawing/2014/main" id="{00000000-0008-0000-0500-00003103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30</xdr:row>
      <xdr:rowOff>34925</xdr:rowOff>
    </xdr:from>
    <xdr:to>
      <xdr:col>22</xdr:col>
      <xdr:colOff>9525</xdr:colOff>
      <xdr:row>31</xdr:row>
      <xdr:rowOff>0</xdr:rowOff>
    </xdr:to>
    <xdr:cxnSp macro="">
      <xdr:nvCxnSpPr>
        <xdr:cNvPr id="818" name="Straight Connector 817">
          <a:extLst>
            <a:ext uri="{FF2B5EF4-FFF2-40B4-BE49-F238E27FC236}">
              <a16:creationId xmlns:a16="http://schemas.microsoft.com/office/drawing/2014/main" id="{00000000-0008-0000-0500-000032030000}"/>
            </a:ext>
          </a:extLst>
        </xdr:cNvPr>
        <xdr:cNvCxnSpPr/>
      </xdr:nvCxnSpPr>
      <xdr:spPr bwMode="auto">
        <a:xfrm flipV="1">
          <a:off x="137636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19" name="Straight Connector 818">
          <a:extLst>
            <a:ext uri="{FF2B5EF4-FFF2-40B4-BE49-F238E27FC236}">
              <a16:creationId xmlns:a16="http://schemas.microsoft.com/office/drawing/2014/main" id="{00000000-0008-0000-0500-00003303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20" name="Straight Connector 819">
          <a:extLst>
            <a:ext uri="{FF2B5EF4-FFF2-40B4-BE49-F238E27FC236}">
              <a16:creationId xmlns:a16="http://schemas.microsoft.com/office/drawing/2014/main" id="{00000000-0008-0000-0500-00003403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21" name="Straight Connector 820">
          <a:extLst>
            <a:ext uri="{FF2B5EF4-FFF2-40B4-BE49-F238E27FC236}">
              <a16:creationId xmlns:a16="http://schemas.microsoft.com/office/drawing/2014/main" id="{00000000-0008-0000-0500-00003503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22" name="Straight Connector 821">
          <a:extLst>
            <a:ext uri="{FF2B5EF4-FFF2-40B4-BE49-F238E27FC236}">
              <a16:creationId xmlns:a16="http://schemas.microsoft.com/office/drawing/2014/main" id="{00000000-0008-0000-0500-00003603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23" name="Straight Connector 822">
          <a:extLst>
            <a:ext uri="{FF2B5EF4-FFF2-40B4-BE49-F238E27FC236}">
              <a16:creationId xmlns:a16="http://schemas.microsoft.com/office/drawing/2014/main" id="{00000000-0008-0000-0500-00003703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24" name="Straight Connector 823">
          <a:extLst>
            <a:ext uri="{FF2B5EF4-FFF2-40B4-BE49-F238E27FC236}">
              <a16:creationId xmlns:a16="http://schemas.microsoft.com/office/drawing/2014/main" id="{00000000-0008-0000-0500-00003803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25" name="Straight Connector 824">
          <a:extLst>
            <a:ext uri="{FF2B5EF4-FFF2-40B4-BE49-F238E27FC236}">
              <a16:creationId xmlns:a16="http://schemas.microsoft.com/office/drawing/2014/main" id="{00000000-0008-0000-0500-00003903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26" name="Straight Connector 825">
          <a:extLst>
            <a:ext uri="{FF2B5EF4-FFF2-40B4-BE49-F238E27FC236}">
              <a16:creationId xmlns:a16="http://schemas.microsoft.com/office/drawing/2014/main" id="{00000000-0008-0000-0500-00003A03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27" name="Straight Connector 826">
          <a:extLst>
            <a:ext uri="{FF2B5EF4-FFF2-40B4-BE49-F238E27FC236}">
              <a16:creationId xmlns:a16="http://schemas.microsoft.com/office/drawing/2014/main" id="{00000000-0008-0000-0500-00003B03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32</xdr:row>
      <xdr:rowOff>34925</xdr:rowOff>
    </xdr:from>
    <xdr:to>
      <xdr:col>20</xdr:col>
      <xdr:colOff>9525</xdr:colOff>
      <xdr:row>33</xdr:row>
      <xdr:rowOff>0</xdr:rowOff>
    </xdr:to>
    <xdr:cxnSp macro="">
      <xdr:nvCxnSpPr>
        <xdr:cNvPr id="828" name="Straight Connector 827">
          <a:extLst>
            <a:ext uri="{FF2B5EF4-FFF2-40B4-BE49-F238E27FC236}">
              <a16:creationId xmlns:a16="http://schemas.microsoft.com/office/drawing/2014/main" id="{00000000-0008-0000-0500-00003C030000}"/>
            </a:ext>
          </a:extLst>
        </xdr:cNvPr>
        <xdr:cNvCxnSpPr/>
      </xdr:nvCxnSpPr>
      <xdr:spPr bwMode="auto">
        <a:xfrm flipV="1">
          <a:off x="125444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29" name="Straight Connector 828">
          <a:extLst>
            <a:ext uri="{FF2B5EF4-FFF2-40B4-BE49-F238E27FC236}">
              <a16:creationId xmlns:a16="http://schemas.microsoft.com/office/drawing/2014/main" id="{00000000-0008-0000-0500-00003D03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30" name="Straight Connector 829">
          <a:extLst>
            <a:ext uri="{FF2B5EF4-FFF2-40B4-BE49-F238E27FC236}">
              <a16:creationId xmlns:a16="http://schemas.microsoft.com/office/drawing/2014/main" id="{00000000-0008-0000-0500-00003E03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31" name="Straight Connector 830">
          <a:extLst>
            <a:ext uri="{FF2B5EF4-FFF2-40B4-BE49-F238E27FC236}">
              <a16:creationId xmlns:a16="http://schemas.microsoft.com/office/drawing/2014/main" id="{00000000-0008-0000-0500-00003F03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32" name="Straight Connector 831">
          <a:extLst>
            <a:ext uri="{FF2B5EF4-FFF2-40B4-BE49-F238E27FC236}">
              <a16:creationId xmlns:a16="http://schemas.microsoft.com/office/drawing/2014/main" id="{00000000-0008-0000-0500-00004003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33" name="Straight Connector 832">
          <a:extLst>
            <a:ext uri="{FF2B5EF4-FFF2-40B4-BE49-F238E27FC236}">
              <a16:creationId xmlns:a16="http://schemas.microsoft.com/office/drawing/2014/main" id="{00000000-0008-0000-0500-00004103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34" name="Straight Connector 833">
          <a:extLst>
            <a:ext uri="{FF2B5EF4-FFF2-40B4-BE49-F238E27FC236}">
              <a16:creationId xmlns:a16="http://schemas.microsoft.com/office/drawing/2014/main" id="{00000000-0008-0000-0500-00004203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35" name="Straight Connector 834">
          <a:extLst>
            <a:ext uri="{FF2B5EF4-FFF2-40B4-BE49-F238E27FC236}">
              <a16:creationId xmlns:a16="http://schemas.microsoft.com/office/drawing/2014/main" id="{00000000-0008-0000-0500-00004303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36" name="Straight Connector 835">
          <a:extLst>
            <a:ext uri="{FF2B5EF4-FFF2-40B4-BE49-F238E27FC236}">
              <a16:creationId xmlns:a16="http://schemas.microsoft.com/office/drawing/2014/main" id="{00000000-0008-0000-0500-00004403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37" name="Straight Connector 836">
          <a:extLst>
            <a:ext uri="{FF2B5EF4-FFF2-40B4-BE49-F238E27FC236}">
              <a16:creationId xmlns:a16="http://schemas.microsoft.com/office/drawing/2014/main" id="{00000000-0008-0000-0500-00004503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34</xdr:row>
      <xdr:rowOff>34925</xdr:rowOff>
    </xdr:from>
    <xdr:to>
      <xdr:col>22</xdr:col>
      <xdr:colOff>9525</xdr:colOff>
      <xdr:row>35</xdr:row>
      <xdr:rowOff>0</xdr:rowOff>
    </xdr:to>
    <xdr:cxnSp macro="">
      <xdr:nvCxnSpPr>
        <xdr:cNvPr id="838" name="Straight Connector 837">
          <a:extLst>
            <a:ext uri="{FF2B5EF4-FFF2-40B4-BE49-F238E27FC236}">
              <a16:creationId xmlns:a16="http://schemas.microsoft.com/office/drawing/2014/main" id="{00000000-0008-0000-0500-000046030000}"/>
            </a:ext>
          </a:extLst>
        </xdr:cNvPr>
        <xdr:cNvCxnSpPr/>
      </xdr:nvCxnSpPr>
      <xdr:spPr bwMode="auto">
        <a:xfrm flipV="1">
          <a:off x="137636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39" name="Straight Connector 838">
          <a:extLst>
            <a:ext uri="{FF2B5EF4-FFF2-40B4-BE49-F238E27FC236}">
              <a16:creationId xmlns:a16="http://schemas.microsoft.com/office/drawing/2014/main" id="{00000000-0008-0000-0500-00004703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40" name="Straight Connector 839">
          <a:extLst>
            <a:ext uri="{FF2B5EF4-FFF2-40B4-BE49-F238E27FC236}">
              <a16:creationId xmlns:a16="http://schemas.microsoft.com/office/drawing/2014/main" id="{00000000-0008-0000-0500-00004803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41" name="Straight Connector 840">
          <a:extLst>
            <a:ext uri="{FF2B5EF4-FFF2-40B4-BE49-F238E27FC236}">
              <a16:creationId xmlns:a16="http://schemas.microsoft.com/office/drawing/2014/main" id="{00000000-0008-0000-0500-00004903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42" name="Straight Connector 841">
          <a:extLst>
            <a:ext uri="{FF2B5EF4-FFF2-40B4-BE49-F238E27FC236}">
              <a16:creationId xmlns:a16="http://schemas.microsoft.com/office/drawing/2014/main" id="{00000000-0008-0000-0500-00004A03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43" name="Straight Connector 842">
          <a:extLst>
            <a:ext uri="{FF2B5EF4-FFF2-40B4-BE49-F238E27FC236}">
              <a16:creationId xmlns:a16="http://schemas.microsoft.com/office/drawing/2014/main" id="{00000000-0008-0000-0500-00004B03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44" name="Straight Connector 843">
          <a:extLst>
            <a:ext uri="{FF2B5EF4-FFF2-40B4-BE49-F238E27FC236}">
              <a16:creationId xmlns:a16="http://schemas.microsoft.com/office/drawing/2014/main" id="{00000000-0008-0000-0500-00004C03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45" name="Straight Connector 844">
          <a:extLst>
            <a:ext uri="{FF2B5EF4-FFF2-40B4-BE49-F238E27FC236}">
              <a16:creationId xmlns:a16="http://schemas.microsoft.com/office/drawing/2014/main" id="{00000000-0008-0000-0500-00004D03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46" name="Straight Connector 845">
          <a:extLst>
            <a:ext uri="{FF2B5EF4-FFF2-40B4-BE49-F238E27FC236}">
              <a16:creationId xmlns:a16="http://schemas.microsoft.com/office/drawing/2014/main" id="{00000000-0008-0000-0500-00004E03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47" name="Straight Connector 846">
          <a:extLst>
            <a:ext uri="{FF2B5EF4-FFF2-40B4-BE49-F238E27FC236}">
              <a16:creationId xmlns:a16="http://schemas.microsoft.com/office/drawing/2014/main" id="{00000000-0008-0000-0500-00004F03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32</xdr:row>
      <xdr:rowOff>34925</xdr:rowOff>
    </xdr:from>
    <xdr:to>
      <xdr:col>24</xdr:col>
      <xdr:colOff>9525</xdr:colOff>
      <xdr:row>33</xdr:row>
      <xdr:rowOff>0</xdr:rowOff>
    </xdr:to>
    <xdr:cxnSp macro="">
      <xdr:nvCxnSpPr>
        <xdr:cNvPr id="848" name="Straight Connector 847">
          <a:extLst>
            <a:ext uri="{FF2B5EF4-FFF2-40B4-BE49-F238E27FC236}">
              <a16:creationId xmlns:a16="http://schemas.microsoft.com/office/drawing/2014/main" id="{00000000-0008-0000-0500-000050030000}"/>
            </a:ext>
          </a:extLst>
        </xdr:cNvPr>
        <xdr:cNvCxnSpPr/>
      </xdr:nvCxnSpPr>
      <xdr:spPr bwMode="auto">
        <a:xfrm flipV="1">
          <a:off x="149828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24</xdr:row>
      <xdr:rowOff>34925</xdr:rowOff>
    </xdr:from>
    <xdr:to>
      <xdr:col>8</xdr:col>
      <xdr:colOff>9525</xdr:colOff>
      <xdr:row>25</xdr:row>
      <xdr:rowOff>0</xdr:rowOff>
    </xdr:to>
    <xdr:cxnSp macro="">
      <xdr:nvCxnSpPr>
        <xdr:cNvPr id="849" name="Straight Connector 848">
          <a:extLst>
            <a:ext uri="{FF2B5EF4-FFF2-40B4-BE49-F238E27FC236}">
              <a16:creationId xmlns:a16="http://schemas.microsoft.com/office/drawing/2014/main" id="{00000000-0008-0000-0500-000051030000}"/>
            </a:ext>
          </a:extLst>
        </xdr:cNvPr>
        <xdr:cNvCxnSpPr/>
      </xdr:nvCxnSpPr>
      <xdr:spPr bwMode="auto">
        <a:xfrm flipV="1">
          <a:off x="5229225" y="39211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9</xdr:col>
      <xdr:colOff>0</xdr:colOff>
      <xdr:row>26</xdr:row>
      <xdr:rowOff>34925</xdr:rowOff>
    </xdr:from>
    <xdr:to>
      <xdr:col>10</xdr:col>
      <xdr:colOff>9525</xdr:colOff>
      <xdr:row>27</xdr:row>
      <xdr:rowOff>0</xdr:rowOff>
    </xdr:to>
    <xdr:cxnSp macro="">
      <xdr:nvCxnSpPr>
        <xdr:cNvPr id="850" name="Straight Connector 849">
          <a:extLst>
            <a:ext uri="{FF2B5EF4-FFF2-40B4-BE49-F238E27FC236}">
              <a16:creationId xmlns:a16="http://schemas.microsoft.com/office/drawing/2014/main" id="{00000000-0008-0000-0500-000052030000}"/>
            </a:ext>
          </a:extLst>
        </xdr:cNvPr>
        <xdr:cNvCxnSpPr/>
      </xdr:nvCxnSpPr>
      <xdr:spPr bwMode="auto">
        <a:xfrm flipV="1">
          <a:off x="6448425" y="42449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11</xdr:col>
      <xdr:colOff>0</xdr:colOff>
      <xdr:row>28</xdr:row>
      <xdr:rowOff>34925</xdr:rowOff>
    </xdr:from>
    <xdr:to>
      <xdr:col>12</xdr:col>
      <xdr:colOff>9525</xdr:colOff>
      <xdr:row>29</xdr:row>
      <xdr:rowOff>0</xdr:rowOff>
    </xdr:to>
    <xdr:cxnSp macro="">
      <xdr:nvCxnSpPr>
        <xdr:cNvPr id="851" name="Straight Connector 850">
          <a:extLst>
            <a:ext uri="{FF2B5EF4-FFF2-40B4-BE49-F238E27FC236}">
              <a16:creationId xmlns:a16="http://schemas.microsoft.com/office/drawing/2014/main" id="{00000000-0008-0000-0500-000053030000}"/>
            </a:ext>
          </a:extLst>
        </xdr:cNvPr>
        <xdr:cNvCxnSpPr/>
      </xdr:nvCxnSpPr>
      <xdr:spPr bwMode="auto">
        <a:xfrm flipV="1">
          <a:off x="7667625" y="45688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30</xdr:row>
      <xdr:rowOff>34925</xdr:rowOff>
    </xdr:from>
    <xdr:to>
      <xdr:col>14</xdr:col>
      <xdr:colOff>9525</xdr:colOff>
      <xdr:row>31</xdr:row>
      <xdr:rowOff>0</xdr:rowOff>
    </xdr:to>
    <xdr:cxnSp macro="">
      <xdr:nvCxnSpPr>
        <xdr:cNvPr id="852" name="Straight Connector 851">
          <a:extLst>
            <a:ext uri="{FF2B5EF4-FFF2-40B4-BE49-F238E27FC236}">
              <a16:creationId xmlns:a16="http://schemas.microsoft.com/office/drawing/2014/main" id="{00000000-0008-0000-0500-000054030000}"/>
            </a:ext>
          </a:extLst>
        </xdr:cNvPr>
        <xdr:cNvCxnSpPr/>
      </xdr:nvCxnSpPr>
      <xdr:spPr bwMode="auto">
        <a:xfrm flipV="1">
          <a:off x="8886825" y="48926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0</xdr:colOff>
      <xdr:row>32</xdr:row>
      <xdr:rowOff>34925</xdr:rowOff>
    </xdr:from>
    <xdr:to>
      <xdr:col>16</xdr:col>
      <xdr:colOff>9525</xdr:colOff>
      <xdr:row>33</xdr:row>
      <xdr:rowOff>0</xdr:rowOff>
    </xdr:to>
    <xdr:cxnSp macro="">
      <xdr:nvCxnSpPr>
        <xdr:cNvPr id="853" name="Straight Connector 852">
          <a:extLst>
            <a:ext uri="{FF2B5EF4-FFF2-40B4-BE49-F238E27FC236}">
              <a16:creationId xmlns:a16="http://schemas.microsoft.com/office/drawing/2014/main" id="{00000000-0008-0000-0500-000055030000}"/>
            </a:ext>
          </a:extLst>
        </xdr:cNvPr>
        <xdr:cNvCxnSpPr/>
      </xdr:nvCxnSpPr>
      <xdr:spPr bwMode="auto">
        <a:xfrm flipV="1">
          <a:off x="10106025" y="52165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17</xdr:col>
      <xdr:colOff>0</xdr:colOff>
      <xdr:row>34</xdr:row>
      <xdr:rowOff>34925</xdr:rowOff>
    </xdr:from>
    <xdr:to>
      <xdr:col>18</xdr:col>
      <xdr:colOff>9525</xdr:colOff>
      <xdr:row>35</xdr:row>
      <xdr:rowOff>0</xdr:rowOff>
    </xdr:to>
    <xdr:cxnSp macro="">
      <xdr:nvCxnSpPr>
        <xdr:cNvPr id="854" name="Straight Connector 853">
          <a:extLst>
            <a:ext uri="{FF2B5EF4-FFF2-40B4-BE49-F238E27FC236}">
              <a16:creationId xmlns:a16="http://schemas.microsoft.com/office/drawing/2014/main" id="{00000000-0008-0000-0500-000056030000}"/>
            </a:ext>
          </a:extLst>
        </xdr:cNvPr>
        <xdr:cNvCxnSpPr/>
      </xdr:nvCxnSpPr>
      <xdr:spPr bwMode="auto">
        <a:xfrm flipV="1">
          <a:off x="11325225" y="55403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19</xdr:col>
      <xdr:colOff>0</xdr:colOff>
      <xdr:row>36</xdr:row>
      <xdr:rowOff>34925</xdr:rowOff>
    </xdr:from>
    <xdr:to>
      <xdr:col>20</xdr:col>
      <xdr:colOff>9525</xdr:colOff>
      <xdr:row>37</xdr:row>
      <xdr:rowOff>0</xdr:rowOff>
    </xdr:to>
    <xdr:cxnSp macro="">
      <xdr:nvCxnSpPr>
        <xdr:cNvPr id="855" name="Straight Connector 854">
          <a:extLst>
            <a:ext uri="{FF2B5EF4-FFF2-40B4-BE49-F238E27FC236}">
              <a16:creationId xmlns:a16="http://schemas.microsoft.com/office/drawing/2014/main" id="{00000000-0008-0000-0500-000057030000}"/>
            </a:ext>
          </a:extLst>
        </xdr:cNvPr>
        <xdr:cNvCxnSpPr/>
      </xdr:nvCxnSpPr>
      <xdr:spPr bwMode="auto">
        <a:xfrm flipV="1">
          <a:off x="12544425" y="58642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21</xdr:col>
      <xdr:colOff>0</xdr:colOff>
      <xdr:row>38</xdr:row>
      <xdr:rowOff>34925</xdr:rowOff>
    </xdr:from>
    <xdr:to>
      <xdr:col>22</xdr:col>
      <xdr:colOff>9525</xdr:colOff>
      <xdr:row>39</xdr:row>
      <xdr:rowOff>0</xdr:rowOff>
    </xdr:to>
    <xdr:cxnSp macro="">
      <xdr:nvCxnSpPr>
        <xdr:cNvPr id="856" name="Straight Connector 855">
          <a:extLst>
            <a:ext uri="{FF2B5EF4-FFF2-40B4-BE49-F238E27FC236}">
              <a16:creationId xmlns:a16="http://schemas.microsoft.com/office/drawing/2014/main" id="{00000000-0008-0000-0500-000058030000}"/>
            </a:ext>
          </a:extLst>
        </xdr:cNvPr>
        <xdr:cNvCxnSpPr/>
      </xdr:nvCxnSpPr>
      <xdr:spPr bwMode="auto">
        <a:xfrm flipV="1">
          <a:off x="13763625" y="618807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23</xdr:col>
      <xdr:colOff>0</xdr:colOff>
      <xdr:row>40</xdr:row>
      <xdr:rowOff>34925</xdr:rowOff>
    </xdr:from>
    <xdr:to>
      <xdr:col>24</xdr:col>
      <xdr:colOff>9525</xdr:colOff>
      <xdr:row>41</xdr:row>
      <xdr:rowOff>0</xdr:rowOff>
    </xdr:to>
    <xdr:cxnSp macro="">
      <xdr:nvCxnSpPr>
        <xdr:cNvPr id="857" name="Straight Connector 856">
          <a:extLst>
            <a:ext uri="{FF2B5EF4-FFF2-40B4-BE49-F238E27FC236}">
              <a16:creationId xmlns:a16="http://schemas.microsoft.com/office/drawing/2014/main" id="{00000000-0008-0000-0500-000059030000}"/>
            </a:ext>
          </a:extLst>
        </xdr:cNvPr>
        <xdr:cNvCxnSpPr/>
      </xdr:nvCxnSpPr>
      <xdr:spPr bwMode="auto">
        <a:xfrm flipV="1">
          <a:off x="14982825" y="6511925"/>
          <a:ext cx="619125" cy="127000"/>
        </a:xfrm>
        <a:prstGeom prst="line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8"/>
  <sheetViews>
    <sheetView showGridLines="0" workbookViewId="0">
      <selection activeCell="B13" sqref="B13"/>
    </sheetView>
  </sheetViews>
  <sheetFormatPr defaultColWidth="10.7109375" defaultRowHeight="15.75" customHeight="1" x14ac:dyDescent="0.25"/>
  <cols>
    <col min="1" max="1" width="26.85546875" style="1" customWidth="1"/>
    <col min="2" max="2" width="7.85546875" style="1" customWidth="1"/>
    <col min="3" max="3" width="4.42578125" style="1" customWidth="1"/>
    <col min="4" max="4" width="13.28515625" style="1" customWidth="1"/>
    <col min="5" max="5" width="10.7109375" style="1"/>
    <col min="6" max="6" width="3.42578125" style="1" customWidth="1"/>
    <col min="7" max="16384" width="10.7109375" style="1"/>
  </cols>
  <sheetData>
    <row r="1" spans="1:5" ht="28.5" customHeight="1" x14ac:dyDescent="0.5">
      <c r="A1" s="2" t="s">
        <v>11</v>
      </c>
    </row>
    <row r="2" spans="1:5" ht="15.75" customHeight="1" x14ac:dyDescent="0.25">
      <c r="A2" s="3" t="s">
        <v>35</v>
      </c>
    </row>
    <row r="3" spans="1:5" customFormat="1" ht="15.75" customHeight="1" thickBot="1" x14ac:dyDescent="0.3">
      <c r="A3" s="1"/>
    </row>
    <row r="4" spans="1:5" ht="15.75" customHeight="1" x14ac:dyDescent="0.25">
      <c r="A4" s="10" t="s">
        <v>33</v>
      </c>
      <c r="B4" s="11"/>
      <c r="D4" s="4" t="s">
        <v>14</v>
      </c>
      <c r="E4" s="5"/>
    </row>
    <row r="5" spans="1:5" ht="15.75" customHeight="1" x14ac:dyDescent="0.25">
      <c r="A5" s="12" t="s">
        <v>12</v>
      </c>
      <c r="B5" s="13" t="s">
        <v>36</v>
      </c>
      <c r="D5" s="6" t="s">
        <v>19</v>
      </c>
      <c r="E5" s="8">
        <v>20.246966891666979</v>
      </c>
    </row>
    <row r="6" spans="1:5" ht="15.75" customHeight="1" x14ac:dyDescent="0.25">
      <c r="A6" s="12" t="s">
        <v>13</v>
      </c>
      <c r="B6" s="13" t="s">
        <v>34</v>
      </c>
      <c r="D6" s="6" t="s">
        <v>15</v>
      </c>
      <c r="E6" s="8">
        <v>0.91271365718083342</v>
      </c>
    </row>
    <row r="7" spans="1:5" ht="15.75" customHeight="1" x14ac:dyDescent="0.25">
      <c r="A7" s="12" t="s">
        <v>16</v>
      </c>
      <c r="B7" s="13">
        <v>23.15</v>
      </c>
      <c r="D7" s="6" t="s">
        <v>20</v>
      </c>
      <c r="E7" s="8">
        <v>1.0785545003444423E-4</v>
      </c>
    </row>
    <row r="8" spans="1:5" ht="15.75" customHeight="1" thickBot="1" x14ac:dyDescent="0.3">
      <c r="A8" s="12" t="s">
        <v>0</v>
      </c>
      <c r="B8" s="13">
        <v>1.22</v>
      </c>
      <c r="D8" s="7" t="s">
        <v>21</v>
      </c>
      <c r="E8" s="9">
        <v>0.16583196994716864</v>
      </c>
    </row>
    <row r="9" spans="1:5" ht="15.75" customHeight="1" x14ac:dyDescent="0.25">
      <c r="A9" s="12" t="s">
        <v>1</v>
      </c>
      <c r="B9" s="13">
        <v>10</v>
      </c>
    </row>
    <row r="10" spans="1:5" ht="15.75" customHeight="1" x14ac:dyDescent="0.25">
      <c r="A10" s="12" t="s">
        <v>2</v>
      </c>
      <c r="B10" s="29">
        <v>0.5</v>
      </c>
    </row>
    <row r="11" spans="1:5" ht="15.75" customHeight="1" x14ac:dyDescent="0.25">
      <c r="A11" s="12" t="s">
        <v>32</v>
      </c>
      <c r="B11" s="28">
        <v>5.2499999999999998E-2</v>
      </c>
    </row>
    <row r="12" spans="1:5" ht="15.75" customHeight="1" x14ac:dyDescent="0.25">
      <c r="A12" s="12" t="s">
        <v>18</v>
      </c>
      <c r="B12" s="29">
        <v>0.01</v>
      </c>
    </row>
    <row r="13" spans="1:5" ht="15.75" customHeight="1" thickBot="1" x14ac:dyDescent="0.3">
      <c r="A13" s="14" t="s">
        <v>6</v>
      </c>
      <c r="B13" s="15">
        <v>10</v>
      </c>
    </row>
    <row r="14" spans="1:5" ht="15.75" customHeight="1" thickBot="1" x14ac:dyDescent="0.3"/>
    <row r="15" spans="1:5" ht="15.75" customHeight="1" x14ac:dyDescent="0.25">
      <c r="A15" s="10" t="s">
        <v>23</v>
      </c>
      <c r="B15" s="11"/>
      <c r="D15" s="4" t="s">
        <v>14</v>
      </c>
      <c r="E15" s="5"/>
    </row>
    <row r="16" spans="1:5" ht="15.75" customHeight="1" x14ac:dyDescent="0.25">
      <c r="A16" s="12" t="s">
        <v>13</v>
      </c>
      <c r="B16" s="13" t="s">
        <v>3</v>
      </c>
      <c r="D16" s="6" t="s">
        <v>19</v>
      </c>
      <c r="E16" s="8">
        <v>7.6205702013437104</v>
      </c>
    </row>
    <row r="17" spans="1:5" ht="15.75" customHeight="1" x14ac:dyDescent="0.25">
      <c r="A17" s="12" t="s">
        <v>16</v>
      </c>
      <c r="B17" s="13">
        <v>60</v>
      </c>
      <c r="D17" s="6" t="s">
        <v>15</v>
      </c>
      <c r="E17" s="8">
        <v>0.74462992519695848</v>
      </c>
    </row>
    <row r="18" spans="1:5" ht="15.75" customHeight="1" x14ac:dyDescent="0.25">
      <c r="A18" s="12" t="s">
        <v>0</v>
      </c>
      <c r="B18" s="13">
        <v>60</v>
      </c>
      <c r="D18" s="6" t="s">
        <v>20</v>
      </c>
      <c r="E18" s="8">
        <v>3.7749220370831386E-2</v>
      </c>
    </row>
    <row r="19" spans="1:5" ht="15.75" customHeight="1" thickBot="1" x14ac:dyDescent="0.3">
      <c r="A19" s="12" t="s">
        <v>1</v>
      </c>
      <c r="B19" s="13">
        <v>0.25</v>
      </c>
      <c r="D19" s="7" t="s">
        <v>21</v>
      </c>
      <c r="E19" s="9">
        <v>-16.584023059869253</v>
      </c>
    </row>
    <row r="20" spans="1:5" ht="15.75" customHeight="1" x14ac:dyDescent="0.25">
      <c r="A20" s="12" t="s">
        <v>2</v>
      </c>
      <c r="B20" s="13">
        <v>0.45</v>
      </c>
    </row>
    <row r="21" spans="1:5" ht="15.75" customHeight="1" x14ac:dyDescent="0.25">
      <c r="A21" s="12" t="s">
        <v>32</v>
      </c>
      <c r="B21" s="13">
        <v>0.1</v>
      </c>
    </row>
    <row r="22" spans="1:5" ht="15.75" customHeight="1" x14ac:dyDescent="0.25">
      <c r="A22" s="12" t="s">
        <v>18</v>
      </c>
      <c r="B22" s="13">
        <v>0.02</v>
      </c>
    </row>
    <row r="23" spans="1:5" ht="15.75" customHeight="1" thickBot="1" x14ac:dyDescent="0.3">
      <c r="A23" s="14" t="s">
        <v>6</v>
      </c>
      <c r="B23" s="15">
        <v>30</v>
      </c>
    </row>
    <row r="24" spans="1:5" ht="15.75" customHeight="1" thickBot="1" x14ac:dyDescent="0.3"/>
    <row r="25" spans="1:5" ht="15.75" customHeight="1" x14ac:dyDescent="0.25">
      <c r="A25" s="10" t="s">
        <v>24</v>
      </c>
      <c r="B25" s="11"/>
      <c r="D25" s="4" t="s">
        <v>14</v>
      </c>
      <c r="E25" s="5"/>
    </row>
    <row r="26" spans="1:5" ht="15.75" customHeight="1" x14ac:dyDescent="0.25">
      <c r="A26" s="12" t="s">
        <v>26</v>
      </c>
      <c r="B26" s="13" t="s">
        <v>3</v>
      </c>
      <c r="D26" s="6" t="s">
        <v>19</v>
      </c>
      <c r="E26" s="8">
        <v>9.8951045933070496</v>
      </c>
    </row>
    <row r="27" spans="1:5" ht="15.75" customHeight="1" x14ac:dyDescent="0.25">
      <c r="A27" s="12" t="s">
        <v>27</v>
      </c>
      <c r="B27" s="13" t="s">
        <v>4</v>
      </c>
      <c r="D27" s="6" t="s">
        <v>15</v>
      </c>
      <c r="E27" s="8">
        <v>0.73640123526847523</v>
      </c>
    </row>
    <row r="28" spans="1:5" ht="15.75" customHeight="1" x14ac:dyDescent="0.25">
      <c r="A28" s="12" t="s">
        <v>28</v>
      </c>
      <c r="B28" s="13">
        <v>5</v>
      </c>
      <c r="D28" s="6" t="s">
        <v>22</v>
      </c>
      <c r="E28" s="8">
        <v>2.1010631917612228E-2</v>
      </c>
    </row>
    <row r="29" spans="1:5" ht="15.75" customHeight="1" thickBot="1" x14ac:dyDescent="0.3">
      <c r="A29" s="12" t="s">
        <v>29</v>
      </c>
      <c r="B29" s="13">
        <v>50</v>
      </c>
      <c r="D29" s="7" t="s">
        <v>21</v>
      </c>
      <c r="E29" s="9">
        <v>-10.218881045696513</v>
      </c>
    </row>
    <row r="30" spans="1:5" ht="15.75" customHeight="1" x14ac:dyDescent="0.25">
      <c r="A30" s="12" t="s">
        <v>30</v>
      </c>
      <c r="B30" s="13">
        <v>0.25</v>
      </c>
    </row>
    <row r="31" spans="1:5" ht="15.75" customHeight="1" x14ac:dyDescent="0.25">
      <c r="A31" s="12" t="s">
        <v>31</v>
      </c>
      <c r="B31" s="13">
        <v>0.5</v>
      </c>
    </row>
    <row r="32" spans="1:5" ht="15.75" customHeight="1" x14ac:dyDescent="0.25">
      <c r="A32" s="12" t="s">
        <v>16</v>
      </c>
      <c r="B32" s="13">
        <v>60</v>
      </c>
    </row>
    <row r="33" spans="1:5" ht="15.75" customHeight="1" x14ac:dyDescent="0.25">
      <c r="A33" s="12" t="s">
        <v>5</v>
      </c>
      <c r="B33" s="13">
        <v>0.45</v>
      </c>
    </row>
    <row r="34" spans="1:5" ht="15.75" customHeight="1" x14ac:dyDescent="0.25">
      <c r="A34" s="12" t="s">
        <v>32</v>
      </c>
      <c r="B34" s="13">
        <v>0.1</v>
      </c>
    </row>
    <row r="35" spans="1:5" ht="15.75" customHeight="1" x14ac:dyDescent="0.25">
      <c r="A35" s="12" t="s">
        <v>18</v>
      </c>
      <c r="B35" s="13">
        <v>0.02</v>
      </c>
    </row>
    <row r="36" spans="1:5" ht="15.75" customHeight="1" thickBot="1" x14ac:dyDescent="0.3">
      <c r="A36" s="14" t="s">
        <v>6</v>
      </c>
      <c r="B36" s="15">
        <v>30</v>
      </c>
    </row>
    <row r="37" spans="1:5" ht="15.75" customHeight="1" thickBot="1" x14ac:dyDescent="0.3"/>
    <row r="38" spans="1:5" ht="15.75" customHeight="1" x14ac:dyDescent="0.25">
      <c r="A38" s="10" t="s">
        <v>25</v>
      </c>
      <c r="B38" s="11"/>
      <c r="D38" s="4" t="s">
        <v>14</v>
      </c>
      <c r="E38" s="5"/>
    </row>
    <row r="39" spans="1:5" ht="15.75" customHeight="1" x14ac:dyDescent="0.25">
      <c r="A39" s="12" t="s">
        <v>16</v>
      </c>
      <c r="B39" s="13">
        <v>50</v>
      </c>
      <c r="D39" s="6" t="s">
        <v>19</v>
      </c>
      <c r="E39" s="8">
        <v>8.935050659622009</v>
      </c>
    </row>
    <row r="40" spans="1:5" ht="15.75" customHeight="1" x14ac:dyDescent="0.25">
      <c r="A40" s="12" t="s">
        <v>17</v>
      </c>
      <c r="B40" s="13">
        <v>0.25</v>
      </c>
      <c r="D40" s="6" t="s">
        <v>15</v>
      </c>
      <c r="E40" s="8">
        <v>-0.77534497952525017</v>
      </c>
    </row>
    <row r="41" spans="1:5" ht="15.75" customHeight="1" x14ac:dyDescent="0.25">
      <c r="A41" s="12" t="s">
        <v>8</v>
      </c>
      <c r="B41" s="13">
        <v>0.5</v>
      </c>
      <c r="D41" s="6" t="s">
        <v>20</v>
      </c>
      <c r="E41" s="8">
        <v>5.4700169499214732E-2</v>
      </c>
    </row>
    <row r="42" spans="1:5" ht="15.75" customHeight="1" thickBot="1" x14ac:dyDescent="0.3">
      <c r="A42" s="12" t="s">
        <v>10</v>
      </c>
      <c r="B42" s="13">
        <v>0.5</v>
      </c>
      <c r="D42" s="7" t="s">
        <v>21</v>
      </c>
      <c r="E42" s="9">
        <v>0.1033695913627497</v>
      </c>
    </row>
    <row r="43" spans="1:5" ht="15.75" customHeight="1" x14ac:dyDescent="0.25">
      <c r="A43" s="12" t="s">
        <v>7</v>
      </c>
      <c r="B43" s="13">
        <v>60</v>
      </c>
    </row>
    <row r="44" spans="1:5" ht="15.75" customHeight="1" x14ac:dyDescent="0.25">
      <c r="A44" s="12" t="s">
        <v>9</v>
      </c>
      <c r="B44" s="13">
        <v>60</v>
      </c>
    </row>
    <row r="45" spans="1:5" ht="15.75" customHeight="1" x14ac:dyDescent="0.25">
      <c r="A45" s="12" t="s">
        <v>2</v>
      </c>
      <c r="B45" s="13">
        <v>0.2</v>
      </c>
    </row>
    <row r="46" spans="1:5" ht="15.75" customHeight="1" x14ac:dyDescent="0.25">
      <c r="A46" s="12" t="s">
        <v>32</v>
      </c>
      <c r="B46" s="13">
        <v>0.1</v>
      </c>
    </row>
    <row r="47" spans="1:5" ht="15.75" customHeight="1" x14ac:dyDescent="0.25">
      <c r="A47" s="12" t="s">
        <v>18</v>
      </c>
      <c r="B47" s="13">
        <v>0.05</v>
      </c>
    </row>
    <row r="48" spans="1:5" ht="15.75" customHeight="1" thickBot="1" x14ac:dyDescent="0.3">
      <c r="A48" s="14" t="s">
        <v>6</v>
      </c>
      <c r="B48" s="15">
        <v>30</v>
      </c>
    </row>
  </sheetData>
  <phoneticPr fontId="1" type="noConversion"/>
  <hyperlinks>
    <hyperlink ref="A2" r:id="rId1" xr:uid="{00000000-0004-0000-0000-000000000000}"/>
  </hyperlinks>
  <pageMargins left="0.75" right="0.75" top="1" bottom="1" header="0.5" footer="0.5"/>
  <pageSetup paperSize="9" orientation="portrait" horizontalDpi="1200" verticalDpi="12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tandardOption">
                <anchor moveWithCells="1" sizeWithCells="1">
                  <from>
                    <xdr:col>3</xdr:col>
                    <xdr:colOff>381000</xdr:colOff>
                    <xdr:row>8</xdr:row>
                    <xdr:rowOff>142875</xdr:rowOff>
                  </from>
                  <to>
                    <xdr:col>4</xdr:col>
                    <xdr:colOff>219075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poundOption">
                <anchor moveWithCells="1" sizeWithCells="1">
                  <from>
                    <xdr:col>3</xdr:col>
                    <xdr:colOff>333375</xdr:colOff>
                    <xdr:row>29</xdr:row>
                    <xdr:rowOff>104775</xdr:rowOff>
                  </from>
                  <to>
                    <xdr:col>4</xdr:col>
                    <xdr:colOff>171450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hooserOption">
                <anchor moveWithCells="1" sizeWithCells="1">
                  <from>
                    <xdr:col>3</xdr:col>
                    <xdr:colOff>381000</xdr:colOff>
                    <xdr:row>42</xdr:row>
                    <xdr:rowOff>114300</xdr:rowOff>
                  </from>
                  <to>
                    <xdr:col>4</xdr:col>
                    <xdr:colOff>219075</xdr:colOff>
                    <xdr:row>44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utOption">
                <anchor moveWithCells="1" sizeWithCells="1">
                  <from>
                    <xdr:col>3</xdr:col>
                    <xdr:colOff>381000</xdr:colOff>
                    <xdr:row>19</xdr:row>
                    <xdr:rowOff>104775</xdr:rowOff>
                  </from>
                  <to>
                    <xdr:col>4</xdr:col>
                    <xdr:colOff>219075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4E8FB-C56C-45A2-8833-3118AA857435}">
  <dimension ref="A1:I39"/>
  <sheetViews>
    <sheetView tabSelected="1" workbookViewId="0">
      <selection activeCell="E10" sqref="E10"/>
    </sheetView>
  </sheetViews>
  <sheetFormatPr defaultRowHeight="12.75" x14ac:dyDescent="0.2"/>
  <cols>
    <col min="1" max="1" width="35.5703125" bestFit="1" customWidth="1"/>
    <col min="4" max="4" width="35.5703125" bestFit="1" customWidth="1"/>
    <col min="5" max="5" width="10.5703125" bestFit="1" customWidth="1"/>
    <col min="7" max="7" width="35.5703125" bestFit="1" customWidth="1"/>
  </cols>
  <sheetData>
    <row r="1" spans="1:9" x14ac:dyDescent="0.2">
      <c r="A1" s="31" t="s">
        <v>60</v>
      </c>
      <c r="B1" s="31"/>
      <c r="C1" s="31"/>
      <c r="D1" s="31"/>
      <c r="E1" s="31"/>
      <c r="F1" s="31"/>
      <c r="G1" s="31"/>
      <c r="H1" s="31"/>
      <c r="I1" s="31"/>
    </row>
    <row r="2" spans="1:9" x14ac:dyDescent="0.2">
      <c r="D2" s="18" t="s">
        <v>56</v>
      </c>
      <c r="E2" s="18"/>
      <c r="G2" s="18" t="s">
        <v>59</v>
      </c>
      <c r="H2" s="18"/>
    </row>
    <row r="3" spans="1:9" x14ac:dyDescent="0.2">
      <c r="A3" t="s">
        <v>39</v>
      </c>
      <c r="D3" t="s">
        <v>39</v>
      </c>
      <c r="G3" t="s">
        <v>39</v>
      </c>
    </row>
    <row r="4" spans="1:9" x14ac:dyDescent="0.2">
      <c r="A4" t="s">
        <v>40</v>
      </c>
      <c r="B4">
        <v>100</v>
      </c>
      <c r="D4" t="s">
        <v>40</v>
      </c>
      <c r="E4">
        <v>100</v>
      </c>
      <c r="G4" t="s">
        <v>40</v>
      </c>
      <c r="H4">
        <v>100</v>
      </c>
    </row>
    <row r="5" spans="1:9" x14ac:dyDescent="0.2">
      <c r="A5" t="s">
        <v>41</v>
      </c>
      <c r="D5" t="s">
        <v>57</v>
      </c>
      <c r="G5" t="s">
        <v>57</v>
      </c>
    </row>
    <row r="6" spans="1:9" x14ac:dyDescent="0.2">
      <c r="A6" t="s">
        <v>42</v>
      </c>
      <c r="B6">
        <v>100</v>
      </c>
      <c r="E6">
        <v>130</v>
      </c>
      <c r="H6">
        <v>130</v>
      </c>
    </row>
    <row r="7" spans="1:9" x14ac:dyDescent="0.2">
      <c r="A7" t="s">
        <v>43</v>
      </c>
      <c r="D7" t="s">
        <v>58</v>
      </c>
      <c r="G7" t="s">
        <v>58</v>
      </c>
    </row>
    <row r="8" spans="1:9" x14ac:dyDescent="0.2">
      <c r="A8" t="s">
        <v>44</v>
      </c>
      <c r="B8">
        <f>6/12</f>
        <v>0.5</v>
      </c>
      <c r="E8">
        <v>70</v>
      </c>
      <c r="H8">
        <v>80</v>
      </c>
    </row>
    <row r="9" spans="1:9" x14ac:dyDescent="0.2">
      <c r="A9" t="s">
        <v>45</v>
      </c>
      <c r="D9" t="s">
        <v>41</v>
      </c>
      <c r="G9" t="s">
        <v>41</v>
      </c>
    </row>
    <row r="10" spans="1:9" x14ac:dyDescent="0.2">
      <c r="A10" t="s">
        <v>46</v>
      </c>
      <c r="B10">
        <v>0.08</v>
      </c>
      <c r="D10" t="s">
        <v>42</v>
      </c>
      <c r="E10">
        <v>100</v>
      </c>
      <c r="G10" t="s">
        <v>42</v>
      </c>
      <c r="H10">
        <v>110</v>
      </c>
    </row>
    <row r="11" spans="1:9" x14ac:dyDescent="0.2">
      <c r="A11" t="s">
        <v>47</v>
      </c>
      <c r="D11" t="s">
        <v>43</v>
      </c>
      <c r="G11" t="s">
        <v>43</v>
      </c>
    </row>
    <row r="12" spans="1:9" x14ac:dyDescent="0.2">
      <c r="A12" t="s">
        <v>48</v>
      </c>
      <c r="B12" s="17">
        <v>0.1</v>
      </c>
      <c r="D12" t="s">
        <v>44</v>
      </c>
      <c r="E12">
        <v>1</v>
      </c>
      <c r="G12" t="s">
        <v>44</v>
      </c>
      <c r="H12">
        <v>1</v>
      </c>
    </row>
    <row r="13" spans="1:9" x14ac:dyDescent="0.2">
      <c r="A13" t="s">
        <v>49</v>
      </c>
      <c r="D13" t="s">
        <v>45</v>
      </c>
      <c r="G13" t="s">
        <v>45</v>
      </c>
    </row>
    <row r="14" spans="1:9" x14ac:dyDescent="0.2">
      <c r="A14" t="s">
        <v>50</v>
      </c>
      <c r="B14">
        <v>0</v>
      </c>
      <c r="D14" t="s">
        <v>46</v>
      </c>
      <c r="E14" s="17">
        <v>0.1</v>
      </c>
      <c r="G14" t="s">
        <v>46</v>
      </c>
      <c r="H14" s="17">
        <v>0.1</v>
      </c>
    </row>
    <row r="15" spans="1:9" x14ac:dyDescent="0.2">
      <c r="A15" s="16" t="s">
        <v>51</v>
      </c>
      <c r="D15" t="s">
        <v>47</v>
      </c>
      <c r="G15" t="s">
        <v>47</v>
      </c>
    </row>
    <row r="16" spans="1:9" x14ac:dyDescent="0.2">
      <c r="A16" s="16">
        <f>EXP(B12*SQRT(B8))</f>
        <v>1.073270660257192</v>
      </c>
      <c r="D16" t="s">
        <v>48</v>
      </c>
      <c r="E16">
        <v>0.05</v>
      </c>
      <c r="G16" t="s">
        <v>48</v>
      </c>
      <c r="H16">
        <v>0.05</v>
      </c>
    </row>
    <row r="17" spans="1:8" x14ac:dyDescent="0.2">
      <c r="A17" s="16" t="s">
        <v>52</v>
      </c>
      <c r="D17" t="s">
        <v>49</v>
      </c>
      <c r="G17" t="s">
        <v>49</v>
      </c>
    </row>
    <row r="18" spans="1:8" x14ac:dyDescent="0.2">
      <c r="A18" s="16">
        <f>1/A16</f>
        <v>0.93173142342339454</v>
      </c>
      <c r="D18" t="s">
        <v>50</v>
      </c>
      <c r="E18">
        <v>0</v>
      </c>
      <c r="G18" t="s">
        <v>50</v>
      </c>
      <c r="H18">
        <v>0</v>
      </c>
    </row>
    <row r="19" spans="1:8" x14ac:dyDescent="0.2">
      <c r="A19" s="16" t="s">
        <v>53</v>
      </c>
      <c r="D19" s="16" t="s">
        <v>51</v>
      </c>
      <c r="G19" s="16" t="s">
        <v>51</v>
      </c>
    </row>
    <row r="20" spans="1:8" x14ac:dyDescent="0.2">
      <c r="A20" s="16">
        <f>(EXP(B10*B8)-A18)/(A16-A18)</f>
        <v>0.77066510466691429</v>
      </c>
      <c r="D20" s="16">
        <f>E6/E4</f>
        <v>1.3</v>
      </c>
      <c r="G20" s="16">
        <f>EXP(H16*SQRT(H12))</f>
        <v>1.0512710963760241</v>
      </c>
    </row>
    <row r="21" spans="1:8" x14ac:dyDescent="0.2">
      <c r="A21" s="16" t="s">
        <v>54</v>
      </c>
      <c r="D21" s="16" t="s">
        <v>52</v>
      </c>
      <c r="G21" s="16" t="s">
        <v>52</v>
      </c>
    </row>
    <row r="22" spans="1:8" x14ac:dyDescent="0.2">
      <c r="A22" s="16">
        <f>MAX(B4*(1+B12)-B6,0)</f>
        <v>10.000000000000014</v>
      </c>
      <c r="D22" s="16">
        <f>1/D20</f>
        <v>0.76923076923076916</v>
      </c>
      <c r="G22" s="16">
        <f>1/G20</f>
        <v>0.9512294245007139</v>
      </c>
    </row>
    <row r="23" spans="1:8" x14ac:dyDescent="0.2">
      <c r="A23" s="16" t="s">
        <v>55</v>
      </c>
      <c r="D23" s="16" t="s">
        <v>53</v>
      </c>
      <c r="G23" s="16" t="s">
        <v>53</v>
      </c>
    </row>
    <row r="24" spans="1:8" x14ac:dyDescent="0.2">
      <c r="A24" s="16">
        <f>MAX(B4*(1-B12)-B6,0)</f>
        <v>0</v>
      </c>
      <c r="D24" s="16">
        <f>(EXP(E14*E12)-(E8/E4))/((E6/E4)-(E8/E4))</f>
        <v>0.67528486345941285</v>
      </c>
      <c r="G24" s="16">
        <f>(EXP(H14*H12)-(H8/H4))/((H6/H4)-(H8/H4))</f>
        <v>0.61034183615129534</v>
      </c>
    </row>
    <row r="25" spans="1:8" x14ac:dyDescent="0.2">
      <c r="A25" s="16" t="s">
        <v>56</v>
      </c>
      <c r="D25" s="16" t="s">
        <v>54</v>
      </c>
      <c r="G25" s="16" t="s">
        <v>54</v>
      </c>
    </row>
    <row r="26" spans="1:8" x14ac:dyDescent="0.2">
      <c r="A26" s="16">
        <f>EXP(-B10*B8)*(A20*A22+(1-A20)*A24)</f>
        <v>7.404468936871921</v>
      </c>
      <c r="D26" s="16">
        <f>MAX(E6-E10,0)</f>
        <v>30</v>
      </c>
      <c r="G26" s="16">
        <f>MAX(H10-H6,0)</f>
        <v>0</v>
      </c>
    </row>
    <row r="27" spans="1:8" x14ac:dyDescent="0.2">
      <c r="D27" s="16" t="s">
        <v>55</v>
      </c>
      <c r="G27" s="16" t="s">
        <v>55</v>
      </c>
    </row>
    <row r="28" spans="1:8" x14ac:dyDescent="0.2">
      <c r="D28" s="16">
        <f>MAX(E8-E10,0)</f>
        <v>0</v>
      </c>
      <c r="G28" s="16">
        <f>MAX(H10-H8,0)</f>
        <v>30</v>
      </c>
    </row>
    <row r="29" spans="1:8" x14ac:dyDescent="0.2">
      <c r="D29" s="16" t="s">
        <v>56</v>
      </c>
      <c r="G29" s="16" t="s">
        <v>56</v>
      </c>
    </row>
    <row r="30" spans="1:8" x14ac:dyDescent="0.2">
      <c r="D30" s="16">
        <f>EXP(-E14*E12)*(D24*D26+(1-D24)*D28)</f>
        <v>18.330690368741415</v>
      </c>
      <c r="G30" s="16">
        <f>EXP(-H14*H12)*(G24*G26+(1-G24)*G28)</f>
        <v>10.577318606804845</v>
      </c>
    </row>
    <row r="31" spans="1:8" x14ac:dyDescent="0.2">
      <c r="D31" t="s">
        <v>111</v>
      </c>
      <c r="E31" s="33">
        <f>(D26-D28)/(E6-E8)</f>
        <v>0.5</v>
      </c>
      <c r="G31" t="s">
        <v>111</v>
      </c>
      <c r="H31" s="33">
        <f>(G26-G28)/(H6-H8)</f>
        <v>-0.6</v>
      </c>
    </row>
    <row r="32" spans="1:8" x14ac:dyDescent="0.2">
      <c r="D32" s="16" t="s">
        <v>87</v>
      </c>
      <c r="E32">
        <v>1</v>
      </c>
      <c r="G32" s="16" t="s">
        <v>87</v>
      </c>
      <c r="H32">
        <v>3</v>
      </c>
    </row>
    <row r="33" spans="4:9" x14ac:dyDescent="0.2">
      <c r="D33" s="16" t="s">
        <v>106</v>
      </c>
      <c r="E33">
        <v>2</v>
      </c>
      <c r="G33" s="16" t="s">
        <v>85</v>
      </c>
      <c r="H33">
        <v>5</v>
      </c>
    </row>
    <row r="34" spans="4:9" x14ac:dyDescent="0.2">
      <c r="E34">
        <f>E32*E8</f>
        <v>70</v>
      </c>
      <c r="F34">
        <f>E32*E6</f>
        <v>130</v>
      </c>
      <c r="H34">
        <f>H32*H8</f>
        <v>240</v>
      </c>
      <c r="I34">
        <f>H32*H6</f>
        <v>390</v>
      </c>
    </row>
    <row r="35" spans="4:9" x14ac:dyDescent="0.2">
      <c r="F35">
        <f>-E33*D26</f>
        <v>-60</v>
      </c>
      <c r="H35">
        <f>H33*G28</f>
        <v>150</v>
      </c>
      <c r="I35">
        <f>-H33*G26</f>
        <v>0</v>
      </c>
    </row>
    <row r="36" spans="4:9" x14ac:dyDescent="0.2">
      <c r="E36">
        <f>SUM(E34:E35)</f>
        <v>70</v>
      </c>
      <c r="F36">
        <f>SUM(F34:F35)</f>
        <v>70</v>
      </c>
      <c r="H36">
        <f>SUM(H34:H35)</f>
        <v>390</v>
      </c>
      <c r="I36">
        <f>SUM(I34:I35)</f>
        <v>390</v>
      </c>
    </row>
    <row r="37" spans="4:9" x14ac:dyDescent="0.2">
      <c r="E37" s="34">
        <f>E36/(1+E14)</f>
        <v>63.636363636363633</v>
      </c>
      <c r="G37" t="s">
        <v>112</v>
      </c>
      <c r="H37" s="34">
        <f>H36/(1+H14)</f>
        <v>354.5454545454545</v>
      </c>
    </row>
    <row r="38" spans="4:9" x14ac:dyDescent="0.2">
      <c r="E38" s="34">
        <f>E37-E4*E32</f>
        <v>-36.363636363636367</v>
      </c>
      <c r="H38" s="34">
        <f>H37-H4*H32</f>
        <v>54.545454545454504</v>
      </c>
    </row>
    <row r="39" spans="4:9" x14ac:dyDescent="0.2">
      <c r="D39" t="s">
        <v>34</v>
      </c>
      <c r="E39" s="27">
        <f>E38/-E33</f>
        <v>18.181818181818183</v>
      </c>
      <c r="G39" t="s">
        <v>113</v>
      </c>
      <c r="H39" s="27">
        <f>H38/H33</f>
        <v>10.909090909090901</v>
      </c>
    </row>
  </sheetData>
  <mergeCells count="1">
    <mergeCell ref="A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83732-0E18-43B3-99BD-AF2AD3314107}">
  <dimension ref="A1:L35"/>
  <sheetViews>
    <sheetView workbookViewId="0">
      <selection activeCell="B4" sqref="B4"/>
    </sheetView>
  </sheetViews>
  <sheetFormatPr defaultRowHeight="12.75" x14ac:dyDescent="0.2"/>
  <cols>
    <col min="1" max="1" width="23.5703125" bestFit="1" customWidth="1"/>
    <col min="5" max="5" width="23.5703125" bestFit="1" customWidth="1"/>
    <col min="10" max="10" width="23.5703125" bestFit="1" customWidth="1"/>
  </cols>
  <sheetData>
    <row r="1" spans="1:12" x14ac:dyDescent="0.2">
      <c r="A1" s="32" t="s">
        <v>56</v>
      </c>
      <c r="B1" s="32"/>
      <c r="C1" s="32"/>
      <c r="E1" s="32" t="s">
        <v>59</v>
      </c>
      <c r="F1" s="32"/>
      <c r="G1" s="32"/>
      <c r="J1" s="32" t="s">
        <v>79</v>
      </c>
      <c r="K1" s="32"/>
      <c r="L1" s="32"/>
    </row>
    <row r="2" spans="1:12" x14ac:dyDescent="0.2">
      <c r="A2" t="s">
        <v>39</v>
      </c>
      <c r="B2">
        <v>100</v>
      </c>
      <c r="E2" t="s">
        <v>39</v>
      </c>
      <c r="F2">
        <v>50</v>
      </c>
      <c r="J2" t="s">
        <v>39</v>
      </c>
      <c r="K2">
        <v>2</v>
      </c>
    </row>
    <row r="3" spans="1:12" x14ac:dyDescent="0.2">
      <c r="A3" t="s">
        <v>41</v>
      </c>
      <c r="B3">
        <v>100</v>
      </c>
      <c r="E3" t="s">
        <v>41</v>
      </c>
      <c r="F3">
        <v>51</v>
      </c>
      <c r="J3" t="s">
        <v>41</v>
      </c>
      <c r="K3">
        <v>2.1</v>
      </c>
    </row>
    <row r="4" spans="1:12" x14ac:dyDescent="0.2">
      <c r="A4" t="s">
        <v>61</v>
      </c>
      <c r="B4">
        <f>12/12/2</f>
        <v>0.5</v>
      </c>
      <c r="E4" t="s">
        <v>61</v>
      </c>
      <c r="F4">
        <v>0.25</v>
      </c>
      <c r="J4" t="s">
        <v>61</v>
      </c>
      <c r="K4">
        <f>3/12/2</f>
        <v>0.125</v>
      </c>
    </row>
    <row r="5" spans="1:12" x14ac:dyDescent="0.2">
      <c r="A5" t="s">
        <v>45</v>
      </c>
      <c r="B5" s="17">
        <v>0.1</v>
      </c>
      <c r="E5" t="s">
        <v>45</v>
      </c>
      <c r="F5" s="17">
        <v>0.05</v>
      </c>
      <c r="J5" t="s">
        <v>45</v>
      </c>
      <c r="K5" s="17">
        <v>0.08</v>
      </c>
    </row>
    <row r="6" spans="1:12" x14ac:dyDescent="0.2">
      <c r="A6" t="s">
        <v>51</v>
      </c>
      <c r="B6">
        <v>1.3</v>
      </c>
      <c r="E6" t="s">
        <v>51</v>
      </c>
      <c r="F6">
        <v>1.06</v>
      </c>
      <c r="J6" t="s">
        <v>37</v>
      </c>
      <c r="K6">
        <v>0.63</v>
      </c>
    </row>
    <row r="7" spans="1:12" x14ac:dyDescent="0.2">
      <c r="A7" t="s">
        <v>52</v>
      </c>
      <c r="B7">
        <v>0.8</v>
      </c>
      <c r="E7" t="s">
        <v>52</v>
      </c>
      <c r="F7">
        <v>0.95</v>
      </c>
      <c r="J7" t="s">
        <v>51</v>
      </c>
      <c r="K7">
        <f>EXP(K6*SQRT(K4))</f>
        <v>1.2494939584083313</v>
      </c>
    </row>
    <row r="8" spans="1:12" x14ac:dyDescent="0.2">
      <c r="A8" t="s">
        <v>53</v>
      </c>
      <c r="B8" s="19">
        <f>C8</f>
        <v>0.50254219275204814</v>
      </c>
      <c r="C8" s="19">
        <f>(EXP(B5 * B4 ) - B7) / (B6 - B7)</f>
        <v>0.50254219275204814</v>
      </c>
      <c r="E8" t="s">
        <v>53</v>
      </c>
      <c r="F8">
        <f>G8</f>
        <v>0.56889501400576736</v>
      </c>
      <c r="G8">
        <f>(EXP(F5 * F4 ) - F7) / (F6 - F7)</f>
        <v>0.56889501400576736</v>
      </c>
      <c r="J8" t="s">
        <v>52</v>
      </c>
      <c r="K8">
        <f>1/K7</f>
        <v>0.8003239977837513</v>
      </c>
    </row>
    <row r="9" spans="1:12" x14ac:dyDescent="0.2">
      <c r="A9" t="s">
        <v>62</v>
      </c>
      <c r="B9">
        <f>C9</f>
        <v>130</v>
      </c>
      <c r="C9">
        <f>B2 * B6</f>
        <v>130</v>
      </c>
      <c r="E9" t="s">
        <v>62</v>
      </c>
      <c r="F9">
        <f t="shared" ref="F9:F20" si="0">G9</f>
        <v>53</v>
      </c>
      <c r="G9">
        <f>F2 * F6</f>
        <v>53</v>
      </c>
      <c r="J9" t="s">
        <v>53</v>
      </c>
      <c r="K9" s="19">
        <f>L9</f>
        <v>0.46691940175337665</v>
      </c>
      <c r="L9" s="19">
        <f>(EXP(K5 * K4 ) - K8) / (K7 - K8)</f>
        <v>0.46691940175337665</v>
      </c>
    </row>
    <row r="10" spans="1:12" x14ac:dyDescent="0.2">
      <c r="A10" t="s">
        <v>63</v>
      </c>
      <c r="B10">
        <f t="shared" ref="B10:B20" si="1">C10</f>
        <v>80</v>
      </c>
      <c r="C10">
        <f>B2 * B7</f>
        <v>80</v>
      </c>
      <c r="E10" t="s">
        <v>63</v>
      </c>
      <c r="F10">
        <f t="shared" si="0"/>
        <v>47.5</v>
      </c>
      <c r="G10">
        <f>F2 * F7</f>
        <v>47.5</v>
      </c>
      <c r="J10" t="s">
        <v>62</v>
      </c>
      <c r="K10">
        <f>L10</f>
        <v>2.4989879168166627</v>
      </c>
      <c r="L10">
        <f>K2 * K7</f>
        <v>2.4989879168166627</v>
      </c>
    </row>
    <row r="11" spans="1:12" x14ac:dyDescent="0.2">
      <c r="A11" t="s">
        <v>64</v>
      </c>
      <c r="B11">
        <f t="shared" si="1"/>
        <v>169</v>
      </c>
      <c r="C11">
        <f>B9 * B6</f>
        <v>169</v>
      </c>
      <c r="E11" t="s">
        <v>64</v>
      </c>
      <c r="F11">
        <f t="shared" si="0"/>
        <v>56.18</v>
      </c>
      <c r="G11">
        <f>F9 * F6</f>
        <v>56.18</v>
      </c>
      <c r="J11" t="s">
        <v>63</v>
      </c>
      <c r="K11">
        <f t="shared" ref="K11:K21" si="2">L11</f>
        <v>1.6006479955675026</v>
      </c>
      <c r="L11">
        <f>K2 * K8</f>
        <v>1.6006479955675026</v>
      </c>
    </row>
    <row r="12" spans="1:12" x14ac:dyDescent="0.2">
      <c r="A12" t="s">
        <v>65</v>
      </c>
      <c r="B12">
        <f t="shared" si="1"/>
        <v>104</v>
      </c>
      <c r="C12">
        <f>B9 * B7</f>
        <v>104</v>
      </c>
      <c r="E12" t="s">
        <v>65</v>
      </c>
      <c r="F12">
        <f t="shared" si="0"/>
        <v>50.349999999999994</v>
      </c>
      <c r="G12">
        <f>F9 * F7</f>
        <v>50.349999999999994</v>
      </c>
      <c r="J12" t="s">
        <v>64</v>
      </c>
      <c r="K12">
        <f t="shared" si="2"/>
        <v>3.1224703041978414</v>
      </c>
      <c r="L12">
        <f>K10 * K7</f>
        <v>3.1224703041978414</v>
      </c>
    </row>
    <row r="13" spans="1:12" x14ac:dyDescent="0.2">
      <c r="A13" t="s">
        <v>66</v>
      </c>
      <c r="B13">
        <f>C13</f>
        <v>104</v>
      </c>
      <c r="C13">
        <f>B10 * B6</f>
        <v>104</v>
      </c>
      <c r="E13" t="s">
        <v>66</v>
      </c>
      <c r="F13">
        <f t="shared" si="0"/>
        <v>50.35</v>
      </c>
      <c r="G13">
        <f>F10 * F6</f>
        <v>50.35</v>
      </c>
      <c r="J13" t="s">
        <v>65</v>
      </c>
      <c r="K13">
        <f t="shared" si="2"/>
        <v>2</v>
      </c>
      <c r="L13">
        <f>K10 * K8</f>
        <v>2</v>
      </c>
    </row>
    <row r="14" spans="1:12" x14ac:dyDescent="0.2">
      <c r="A14" t="s">
        <v>67</v>
      </c>
      <c r="B14">
        <f t="shared" si="1"/>
        <v>64</v>
      </c>
      <c r="C14">
        <f>B10 * B7</f>
        <v>64</v>
      </c>
      <c r="E14" t="s">
        <v>67</v>
      </c>
      <c r="F14">
        <f t="shared" si="0"/>
        <v>45.125</v>
      </c>
      <c r="G14">
        <f>F10 * F7</f>
        <v>45.125</v>
      </c>
      <c r="J14" t="s">
        <v>66</v>
      </c>
      <c r="K14">
        <f>L14</f>
        <v>2</v>
      </c>
      <c r="L14">
        <f>K11 * K7</f>
        <v>2</v>
      </c>
    </row>
    <row r="15" spans="1:12" x14ac:dyDescent="0.2">
      <c r="A15" t="s">
        <v>73</v>
      </c>
      <c r="B15">
        <f t="shared" si="1"/>
        <v>69</v>
      </c>
      <c r="C15">
        <f>MAX(0, B11 - B3)</f>
        <v>69</v>
      </c>
      <c r="E15" t="s">
        <v>73</v>
      </c>
      <c r="F15">
        <f t="shared" si="0"/>
        <v>0</v>
      </c>
      <c r="G15">
        <f>MAX(F3 - F11, 0)</f>
        <v>0</v>
      </c>
      <c r="J15" t="s">
        <v>67</v>
      </c>
      <c r="K15">
        <f t="shared" si="2"/>
        <v>1.2810370028571318</v>
      </c>
      <c r="L15">
        <f>K11 * K8</f>
        <v>1.2810370028571318</v>
      </c>
    </row>
    <row r="16" spans="1:12" x14ac:dyDescent="0.2">
      <c r="A16" t="s">
        <v>74</v>
      </c>
      <c r="B16">
        <f t="shared" si="1"/>
        <v>4</v>
      </c>
      <c r="C16">
        <f>MAX(0, B12 - B3)</f>
        <v>4</v>
      </c>
      <c r="E16" t="s">
        <v>74</v>
      </c>
      <c r="F16">
        <f t="shared" si="0"/>
        <v>0.65000000000000568</v>
      </c>
      <c r="G16">
        <f>MAX(F3 - F12, 0)</f>
        <v>0.65000000000000568</v>
      </c>
      <c r="J16" t="s">
        <v>73</v>
      </c>
      <c r="K16">
        <f t="shared" si="2"/>
        <v>1.0224703041978414</v>
      </c>
      <c r="L16">
        <f>MAX(0, K12 - K3)</f>
        <v>1.0224703041978414</v>
      </c>
    </row>
    <row r="17" spans="1:12" x14ac:dyDescent="0.2">
      <c r="A17" t="s">
        <v>75</v>
      </c>
      <c r="B17">
        <f t="shared" si="1"/>
        <v>4</v>
      </c>
      <c r="C17">
        <f>MAX(0, B13 - B3)</f>
        <v>4</v>
      </c>
      <c r="E17" t="s">
        <v>75</v>
      </c>
      <c r="F17">
        <f t="shared" si="0"/>
        <v>0.64999999999999858</v>
      </c>
      <c r="G17">
        <f>MAX(F3 - F13, 0)</f>
        <v>0.64999999999999858</v>
      </c>
      <c r="J17" t="s">
        <v>74</v>
      </c>
      <c r="K17">
        <f t="shared" si="2"/>
        <v>0</v>
      </c>
      <c r="L17">
        <f>MAX(0, K13 - K3)</f>
        <v>0</v>
      </c>
    </row>
    <row r="18" spans="1:12" x14ac:dyDescent="0.2">
      <c r="A18" t="s">
        <v>76</v>
      </c>
      <c r="B18">
        <f t="shared" si="1"/>
        <v>0</v>
      </c>
      <c r="C18">
        <f>MAX(0, B14 - B3)</f>
        <v>0</v>
      </c>
      <c r="E18" t="s">
        <v>76</v>
      </c>
      <c r="F18">
        <f t="shared" si="0"/>
        <v>5.875</v>
      </c>
      <c r="G18">
        <f>MAX(F3 - F14, 0)</f>
        <v>5.875</v>
      </c>
      <c r="J18" t="s">
        <v>75</v>
      </c>
      <c r="K18">
        <f t="shared" si="2"/>
        <v>0</v>
      </c>
      <c r="L18">
        <f>MAX(0, K14 - K3)</f>
        <v>0</v>
      </c>
    </row>
    <row r="19" spans="1:12" x14ac:dyDescent="0.2">
      <c r="A19" t="s">
        <v>77</v>
      </c>
      <c r="B19">
        <f t="shared" si="1"/>
        <v>34.877057549928601</v>
      </c>
      <c r="C19">
        <f>(B8 * B15 + (1 - B8) * B16) * EXP(-B5 * B4)</f>
        <v>34.877057549928601</v>
      </c>
      <c r="E19" t="s">
        <v>77</v>
      </c>
      <c r="F19">
        <f>G19</f>
        <v>0.27673731400258683</v>
      </c>
      <c r="G19">
        <f>(F8 * F15 + (1 - F8) * F16) * EXP(-F5 * F4 )</f>
        <v>0.27673731400258683</v>
      </c>
      <c r="J19" t="s">
        <v>76</v>
      </c>
      <c r="K19">
        <f t="shared" si="2"/>
        <v>0</v>
      </c>
      <c r="L19">
        <f>MAX(0, K15 - K3)</f>
        <v>0</v>
      </c>
    </row>
    <row r="20" spans="1:12" x14ac:dyDescent="0.2">
      <c r="A20" t="s">
        <v>78</v>
      </c>
      <c r="B20">
        <f t="shared" si="1"/>
        <v>1.9605375272141017</v>
      </c>
      <c r="C20">
        <f>(B8 * B17 + (1 - B8) * B18) * EXP(-B5 * B4 / 2)</f>
        <v>1.9605375272141017</v>
      </c>
      <c r="E20" t="s">
        <v>78</v>
      </c>
      <c r="F20">
        <f t="shared" si="0"/>
        <v>2.8664678251879505</v>
      </c>
      <c r="G20">
        <f>(F8 * F17 + (1 - F8) * F18) * EXP(-F5 * F4)</f>
        <v>2.8664678251879505</v>
      </c>
      <c r="J20" t="s">
        <v>77</v>
      </c>
      <c r="K20">
        <f t="shared" si="2"/>
        <v>0.472660901710307</v>
      </c>
      <c r="L20">
        <f>(K9 * K16 + (1 - K9) * K17) * EXP(-K5 * K4)</f>
        <v>0.472660901710307</v>
      </c>
    </row>
    <row r="21" spans="1:12" x14ac:dyDescent="0.2">
      <c r="A21" t="s">
        <v>68</v>
      </c>
      <c r="C21">
        <f>(B8 * B19 + (1 - B8) * B20) * EXP(-B5 * B4)</f>
        <v>17.600101192716217</v>
      </c>
      <c r="E21" t="s">
        <v>59</v>
      </c>
      <c r="G21">
        <f>(F8 * F19 + (1 - F8) * F20) * EXP(-F5 * F4)</f>
        <v>1.3758766519633783</v>
      </c>
      <c r="J21" t="s">
        <v>78</v>
      </c>
      <c r="K21">
        <f t="shared" si="2"/>
        <v>0</v>
      </c>
      <c r="L21">
        <f>(K9 * K18 + (1 - K9) * K19) * EXP(-K5 * K4 / 2)</f>
        <v>0</v>
      </c>
    </row>
    <row r="22" spans="1:12" x14ac:dyDescent="0.2">
      <c r="J22" t="s">
        <v>68</v>
      </c>
      <c r="L22">
        <f>(K9 * K20 + (1 - K9) * K21) * EXP(-K5 * K4)</f>
        <v>0.21849859804082139</v>
      </c>
    </row>
    <row r="24" spans="1:12" x14ac:dyDescent="0.2">
      <c r="E24" t="s">
        <v>69</v>
      </c>
      <c r="F24" t="s">
        <v>72</v>
      </c>
      <c r="G24">
        <f>6/12</f>
        <v>0.5</v>
      </c>
    </row>
    <row r="25" spans="1:12" x14ac:dyDescent="0.2">
      <c r="E25" t="s">
        <v>70</v>
      </c>
      <c r="F25" s="20" t="s">
        <v>38</v>
      </c>
      <c r="G25" t="s">
        <v>71</v>
      </c>
    </row>
    <row r="26" spans="1:12" x14ac:dyDescent="0.2">
      <c r="E26">
        <f>F2+G21</f>
        <v>51.375876651963381</v>
      </c>
      <c r="F26" s="20" t="s">
        <v>38</v>
      </c>
      <c r="G26">
        <f>F3*EXP(-F5*G24)+C21</f>
        <v>67.340906706161178</v>
      </c>
      <c r="J26" t="s">
        <v>80</v>
      </c>
      <c r="K26">
        <v>0.125</v>
      </c>
    </row>
    <row r="27" spans="1:12" x14ac:dyDescent="0.2">
      <c r="J27" t="s">
        <v>81</v>
      </c>
      <c r="K27" s="17">
        <v>0.08</v>
      </c>
    </row>
    <row r="28" spans="1:12" x14ac:dyDescent="0.2">
      <c r="E28" t="s">
        <v>34</v>
      </c>
      <c r="F28">
        <v>2.86</v>
      </c>
      <c r="J28" t="s">
        <v>82</v>
      </c>
      <c r="K28">
        <v>0.63</v>
      </c>
    </row>
    <row r="29" spans="1:12" x14ac:dyDescent="0.2">
      <c r="E29" t="s">
        <v>86</v>
      </c>
      <c r="F29">
        <v>51</v>
      </c>
    </row>
    <row r="30" spans="1:12" x14ac:dyDescent="0.2">
      <c r="E30" t="s">
        <v>81</v>
      </c>
      <c r="F30" s="17">
        <v>0.05</v>
      </c>
      <c r="J30" t="s">
        <v>83</v>
      </c>
      <c r="K30">
        <f>EXP(K28*SQRT(K26))</f>
        <v>1.2494939584083313</v>
      </c>
    </row>
    <row r="31" spans="1:12" x14ac:dyDescent="0.2">
      <c r="E31" t="s">
        <v>80</v>
      </c>
      <c r="F31">
        <f>90/365</f>
        <v>0.24657534246575341</v>
      </c>
      <c r="J31" t="s">
        <v>84</v>
      </c>
      <c r="K31">
        <f>1/K30</f>
        <v>0.8003239977837513</v>
      </c>
    </row>
    <row r="32" spans="1:12" x14ac:dyDescent="0.2">
      <c r="E32" t="s">
        <v>87</v>
      </c>
      <c r="F32">
        <f>50</f>
        <v>50</v>
      </c>
      <c r="K32">
        <f>EXP(K27*K26)</f>
        <v>1.0100501670841679</v>
      </c>
    </row>
    <row r="33" spans="6:11" x14ac:dyDescent="0.2">
      <c r="J33" t="s">
        <v>85</v>
      </c>
      <c r="K33">
        <f>(K32-K31)/(K30-K31)</f>
        <v>0.46691940175337665</v>
      </c>
    </row>
    <row r="34" spans="6:11" x14ac:dyDescent="0.2">
      <c r="F34">
        <f>F29*EXP(-F30*F31)+F28</f>
        <v>53.235092958795647</v>
      </c>
    </row>
    <row r="35" spans="6:11" x14ac:dyDescent="0.2">
      <c r="F35">
        <f>F34-F32</f>
        <v>3.2350929587956472</v>
      </c>
    </row>
  </sheetData>
  <mergeCells count="3">
    <mergeCell ref="A1:C1"/>
    <mergeCell ref="E1:G1"/>
    <mergeCell ref="J1:L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C0B82-2CD3-4B8A-8E54-6D9EA74D8DB6}">
  <dimension ref="A1:O17"/>
  <sheetViews>
    <sheetView workbookViewId="0">
      <selection activeCell="J29" sqref="J29"/>
    </sheetView>
  </sheetViews>
  <sheetFormatPr defaultRowHeight="12.75" x14ac:dyDescent="0.2"/>
  <cols>
    <col min="1" max="1" width="55.140625" bestFit="1" customWidth="1"/>
  </cols>
  <sheetData>
    <row r="1" spans="1:15" x14ac:dyDescent="0.2">
      <c r="A1" s="24" t="s">
        <v>88</v>
      </c>
    </row>
    <row r="2" spans="1:15" x14ac:dyDescent="0.2">
      <c r="A2" t="s">
        <v>89</v>
      </c>
      <c r="B2" s="21">
        <v>23.15</v>
      </c>
    </row>
    <row r="3" spans="1:15" x14ac:dyDescent="0.2">
      <c r="A3" t="s">
        <v>102</v>
      </c>
      <c r="B3" s="21">
        <v>1.22</v>
      </c>
    </row>
    <row r="4" spans="1:15" x14ac:dyDescent="0.2">
      <c r="A4" t="s">
        <v>90</v>
      </c>
      <c r="B4">
        <v>10</v>
      </c>
    </row>
    <row r="5" spans="1:15" x14ac:dyDescent="0.2">
      <c r="A5" t="s">
        <v>103</v>
      </c>
      <c r="B5" s="22">
        <v>5.2499999999999998E-2</v>
      </c>
    </row>
    <row r="6" spans="1:15" x14ac:dyDescent="0.2">
      <c r="A6" t="s">
        <v>47</v>
      </c>
      <c r="B6" s="17">
        <v>0.5</v>
      </c>
    </row>
    <row r="7" spans="1:15" x14ac:dyDescent="0.2">
      <c r="A7" t="s">
        <v>105</v>
      </c>
      <c r="B7">
        <f>B6^2</f>
        <v>0.25</v>
      </c>
      <c r="D7" t="s">
        <v>98</v>
      </c>
      <c r="I7" t="s">
        <v>101</v>
      </c>
      <c r="J7" s="20" t="s">
        <v>38</v>
      </c>
      <c r="K7">
        <f>(LN(B2/B3)+((B5+(B7/2))*B4))/(B6*(B4^0.5))</f>
        <v>2.9840162242653006</v>
      </c>
      <c r="M7" t="s">
        <v>107</v>
      </c>
      <c r="N7" s="26" t="s">
        <v>38</v>
      </c>
      <c r="O7" s="27">
        <f>_xlfn.NORM.S.DIST(K7,TRUE)</f>
        <v>0.9985775415687338</v>
      </c>
    </row>
    <row r="8" spans="1:15" x14ac:dyDescent="0.2">
      <c r="A8" t="s">
        <v>91</v>
      </c>
      <c r="B8" s="21">
        <v>22.45</v>
      </c>
    </row>
    <row r="9" spans="1:15" x14ac:dyDescent="0.2">
      <c r="A9" t="s">
        <v>92</v>
      </c>
      <c r="B9">
        <v>17</v>
      </c>
    </row>
    <row r="10" spans="1:15" x14ac:dyDescent="0.2">
      <c r="A10" t="s">
        <v>93</v>
      </c>
      <c r="B10" s="21">
        <v>381.65</v>
      </c>
    </row>
    <row r="11" spans="1:15" x14ac:dyDescent="0.2">
      <c r="A11" t="s">
        <v>94</v>
      </c>
      <c r="B11" s="21">
        <v>40</v>
      </c>
    </row>
    <row r="12" spans="1:15" x14ac:dyDescent="0.2">
      <c r="A12" t="s">
        <v>95</v>
      </c>
      <c r="B12" s="21">
        <v>341.65</v>
      </c>
    </row>
    <row r="13" spans="1:15" x14ac:dyDescent="0.2">
      <c r="A13" t="s">
        <v>96</v>
      </c>
      <c r="B13" s="23">
        <v>2500</v>
      </c>
    </row>
    <row r="14" spans="1:15" x14ac:dyDescent="0.2">
      <c r="A14" t="s">
        <v>97</v>
      </c>
      <c r="B14" s="17">
        <v>0.14000000000000001</v>
      </c>
      <c r="D14" t="s">
        <v>99</v>
      </c>
      <c r="I14" t="s">
        <v>104</v>
      </c>
      <c r="J14" s="20" t="s">
        <v>38</v>
      </c>
      <c r="K14">
        <f>K7-(B6*(B4^0.5))</f>
        <v>1.4028773941811108</v>
      </c>
      <c r="M14" t="s">
        <v>108</v>
      </c>
      <c r="N14" s="20" t="s">
        <v>38</v>
      </c>
      <c r="O14" s="27">
        <f>_xlfn.NORM.S.DIST(K14,TRUE)</f>
        <v>0.91967329851871904</v>
      </c>
    </row>
    <row r="17" spans="3:11" ht="22.5" x14ac:dyDescent="0.2">
      <c r="C17" s="25" t="s">
        <v>100</v>
      </c>
      <c r="I17" t="s">
        <v>106</v>
      </c>
      <c r="J17" s="20" t="s">
        <v>38</v>
      </c>
      <c r="K17" s="21">
        <f>B2*O7-B3*EXP(-B5*B4)*O14</f>
        <v>22.453344126007707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ADF47-155A-4F4F-A367-F56B02654103}">
  <dimension ref="A1:AA45"/>
  <sheetViews>
    <sheetView workbookViewId="0">
      <selection activeCell="H17" sqref="H17"/>
    </sheetView>
  </sheetViews>
  <sheetFormatPr defaultRowHeight="12.75" x14ac:dyDescent="0.2"/>
  <cols>
    <col min="1" max="1" width="23.5703125" bestFit="1" customWidth="1"/>
  </cols>
  <sheetData>
    <row r="1" spans="1:27" x14ac:dyDescent="0.2">
      <c r="A1" s="32" t="s">
        <v>79</v>
      </c>
      <c r="B1" s="32"/>
      <c r="C1" s="32"/>
    </row>
    <row r="2" spans="1:27" x14ac:dyDescent="0.2">
      <c r="A2" t="s">
        <v>39</v>
      </c>
      <c r="B2">
        <v>23.15</v>
      </c>
      <c r="AA2" s="30">
        <f>Y4*$B$7</f>
        <v>3435.76463322465</v>
      </c>
    </row>
    <row r="3" spans="1:27" x14ac:dyDescent="0.2">
      <c r="A3" t="s">
        <v>41</v>
      </c>
      <c r="B3">
        <v>1.22</v>
      </c>
      <c r="AA3" s="30">
        <f>MAX(AA2 - $B$3, 0)</f>
        <v>3434.5446332246502</v>
      </c>
    </row>
    <row r="4" spans="1:27" x14ac:dyDescent="0.2">
      <c r="A4" t="s">
        <v>61</v>
      </c>
      <c r="B4">
        <f>10/10</f>
        <v>1</v>
      </c>
      <c r="Y4" s="30">
        <f>W6*$B$7</f>
        <v>2083.8965896070808</v>
      </c>
    </row>
    <row r="5" spans="1:27" x14ac:dyDescent="0.2">
      <c r="A5" t="s">
        <v>45</v>
      </c>
      <c r="B5" s="17">
        <v>5.2499999999999998E-2</v>
      </c>
      <c r="Y5" s="30">
        <f>EXP(-$B$4*$B$5) * ($B$9 * AA3 + (1-$B$9) * AA7)</f>
        <v>2082.7389873353927</v>
      </c>
    </row>
    <row r="6" spans="1:27" x14ac:dyDescent="0.2">
      <c r="A6" t="s">
        <v>37</v>
      </c>
      <c r="B6">
        <v>0.5</v>
      </c>
      <c r="W6" s="30">
        <f>U8*$B$7</f>
        <v>1263.9471732672896</v>
      </c>
      <c r="AA6" s="30">
        <f>Y8*$B$7</f>
        <v>1263.9471732672896</v>
      </c>
    </row>
    <row r="7" spans="1:27" x14ac:dyDescent="0.2">
      <c r="A7" t="s">
        <v>51</v>
      </c>
      <c r="B7">
        <f>EXP(B6*SQRT(B4))</f>
        <v>1.6487212707001282</v>
      </c>
      <c r="W7" s="30">
        <f>EXP(-$B$4*$B$5) * ($B$9 *Y5+ (1-$B$9) * Y9)</f>
        <v>1262.8487773497343</v>
      </c>
      <c r="AA7" s="30">
        <f>MAX(AA6 - $B$3, 0)</f>
        <v>1262.7271732672896</v>
      </c>
    </row>
    <row r="8" spans="1:27" x14ac:dyDescent="0.2">
      <c r="A8" t="s">
        <v>52</v>
      </c>
      <c r="B8">
        <f>1/B7</f>
        <v>0.60653065971263342</v>
      </c>
      <c r="U8" s="30">
        <f>S10*$B$7</f>
        <v>766.6227128437273</v>
      </c>
      <c r="Y8" s="30">
        <f>W10*$B$7</f>
        <v>766.6227128437273</v>
      </c>
    </row>
    <row r="9" spans="1:27" x14ac:dyDescent="0.2">
      <c r="A9" t="s">
        <v>53</v>
      </c>
      <c r="B9" s="19">
        <f>C9</f>
        <v>0.42926111370549658</v>
      </c>
      <c r="C9" s="19">
        <f>(EXP(B5 * B4 ) - B8) / (B7 - B8)</f>
        <v>0.42926111370549658</v>
      </c>
      <c r="U9" s="30">
        <f>EXP(-$B$4*$B$5) * ($B$9 *W7+ (1-$B$9) * W11)</f>
        <v>765.58049513112485</v>
      </c>
      <c r="Y9" s="30">
        <f>EXP(-$B$4*$B$5) * ($B$9 *AA7+ (1-$B$9) * AA11)</f>
        <v>765.46511057203918</v>
      </c>
    </row>
    <row r="10" spans="1:27" x14ac:dyDescent="0.2">
      <c r="S10" s="30">
        <f>Q12*$B$7</f>
        <v>464.98017977179461</v>
      </c>
      <c r="W10" s="30">
        <f>U12*$B$7</f>
        <v>464.98017977179461</v>
      </c>
      <c r="AA10" s="30">
        <f>Y12*$B$7</f>
        <v>464.98017977179461</v>
      </c>
    </row>
    <row r="11" spans="1:27" x14ac:dyDescent="0.2">
      <c r="S11" s="30">
        <f>EXP(-$B$4*$B$5) * ($B$9 *U9+ (1-$B$9) * U13)</f>
        <v>463.99126699171092</v>
      </c>
      <c r="W11" s="30">
        <f>EXP(-$B$4*$B$5) * ($B$9 *Y9+ (1-$B$9) * Y13)</f>
        <v>463.88178385423936</v>
      </c>
      <c r="AA11" s="30">
        <f>MAX(AA10 - $B$3, 0)</f>
        <v>463.76017977179458</v>
      </c>
    </row>
    <row r="12" spans="1:27" x14ac:dyDescent="0.2">
      <c r="Q12" s="30">
        <f>O14*$B$7</f>
        <v>282.02473519028547</v>
      </c>
      <c r="U12" s="30">
        <f>S14*$B$7</f>
        <v>282.02473519028547</v>
      </c>
      <c r="Y12" s="30">
        <f>W14*$B$7</f>
        <v>282.02473519028547</v>
      </c>
    </row>
    <row r="13" spans="1:27" x14ac:dyDescent="0.2">
      <c r="Q13" s="30">
        <f>EXP(-$B$4*$B$5) * ($B$9 *S11+ (1-$B$9) * S15)</f>
        <v>281.08640102575578</v>
      </c>
      <c r="U13" s="30">
        <f>EXP(-$B$4*$B$5) * ($B$9 *W11+ (1-$B$9) * W15)</f>
        <v>280.98251747768313</v>
      </c>
      <c r="Y13" s="30">
        <f>EXP(-$B$4*$B$5) * ($B$9 *AA11+ (1-$B$9) * AA15)</f>
        <v>280.86713291859735</v>
      </c>
    </row>
    <row r="14" spans="1:27" x14ac:dyDescent="0.2">
      <c r="O14" s="30">
        <f>M16*$B$7</f>
        <v>171.05664869024457</v>
      </c>
      <c r="S14" s="30">
        <f>Q16*$B$7</f>
        <v>171.0566486902446</v>
      </c>
      <c r="W14" s="30">
        <f>U16*$B$7</f>
        <v>171.0566486902446</v>
      </c>
      <c r="AA14" s="30">
        <f>Y16*$B$7</f>
        <v>171.0566486902446</v>
      </c>
    </row>
    <row r="15" spans="1:27" x14ac:dyDescent="0.2">
      <c r="O15" s="30">
        <f>EXP(-$B$4*$B$5) * ($B$9 *Q13+ (1-$B$9) * Q17)</f>
        <v>170.1663062636363</v>
      </c>
      <c r="S15" s="30">
        <f>EXP(-$B$4*$B$5) * ($B$9 *U13+ (1-$B$9) * U17)</f>
        <v>170.06773591016096</v>
      </c>
      <c r="W15" s="30">
        <f>EXP(-$B$4*$B$5) * ($B$9 *Y13+ (1-$B$9) * Y17)</f>
        <v>169.95825277268932</v>
      </c>
      <c r="AA15" s="30">
        <f>MAX(AA14 - $B$3, 0)</f>
        <v>169.8366486902446</v>
      </c>
    </row>
    <row r="16" spans="1:27" x14ac:dyDescent="0.2">
      <c r="M16" s="30">
        <f>K18*$B$7</f>
        <v>103.7511019783262</v>
      </c>
      <c r="Q16" s="30">
        <f>O18*$B$7</f>
        <v>103.75110197832622</v>
      </c>
      <c r="U16" s="30">
        <f>S18*$B$7</f>
        <v>103.75110197832622</v>
      </c>
      <c r="Y16" s="30">
        <f>W18*$B$7</f>
        <v>103.75110197832622</v>
      </c>
    </row>
    <row r="17" spans="7:27" x14ac:dyDescent="0.2">
      <c r="M17" s="30">
        <f>EXP(-$B$4*$B$5) * ($B$9 *O15+ (1-$B$9) * O19)</f>
        <v>102.90629671961966</v>
      </c>
      <c r="Q17" s="30">
        <f>EXP(-$B$4*$B$5) * ($B$9 *S15+ (1-$B$9) * S19)</f>
        <v>102.81276781379655</v>
      </c>
      <c r="U17" s="30">
        <f>EXP(-$B$4*$B$5) * ($B$9 *W15+ (1-$B$9) * W19)</f>
        <v>102.70888426572387</v>
      </c>
      <c r="Y17" s="30">
        <f>EXP(-$B$4*$B$5) * ($B$9 *AA15+ (1-$B$9) * AA19)</f>
        <v>102.59349970663816</v>
      </c>
    </row>
    <row r="18" spans="7:27" x14ac:dyDescent="0.2">
      <c r="K18" s="30">
        <f>I20*$B$7</f>
        <v>62.9282243288269</v>
      </c>
      <c r="O18" s="30">
        <f>M20*$B$7</f>
        <v>62.928224328826907</v>
      </c>
      <c r="S18" s="30">
        <f>Q20*$B$7</f>
        <v>62.928224328826907</v>
      </c>
      <c r="W18" s="30">
        <f>U20*$B$7</f>
        <v>62.928224328826907</v>
      </c>
      <c r="AA18" s="30">
        <f>Y20*$B$7</f>
        <v>62.928224328826907</v>
      </c>
    </row>
    <row r="19" spans="7:27" x14ac:dyDescent="0.2">
      <c r="K19" s="30">
        <f>EXP(-$B$4*$B$5) * ($B$9 *M17+ (1-$B$9) * M21)</f>
        <v>62.127126030090238</v>
      </c>
      <c r="O19" s="30">
        <f>EXP(-$B$4*$B$5) * ($B$9 *Q17+ (1-$B$9) * Q21)</f>
        <v>62.037881902218651</v>
      </c>
      <c r="S19" s="30">
        <f>EXP(-$B$4*$B$5) * ($B$9 *U17+ (1-$B$9) * U21)</f>
        <v>61.939311548743277</v>
      </c>
      <c r="W19" s="30">
        <f>EXP(-$B$4*$B$5) * ($B$9 *Y17+ (1-$B$9) * Y21)</f>
        <v>61.829828411271663</v>
      </c>
      <c r="AA19" s="30">
        <f>MAX(AA18 - $B$3, 0)</f>
        <v>61.708224328826908</v>
      </c>
    </row>
    <row r="20" spans="7:27" x14ac:dyDescent="0.2">
      <c r="I20" s="30">
        <f>G22*B7</f>
        <v>38.167897416707966</v>
      </c>
      <c r="M20" s="30">
        <f>K22*$B$7</f>
        <v>38.167897416707973</v>
      </c>
      <c r="Q20" s="30">
        <f>O22*$B$7</f>
        <v>38.167897416707973</v>
      </c>
      <c r="U20" s="30">
        <f>S22*$B$7</f>
        <v>38.167897416707973</v>
      </c>
      <c r="Y20" s="30">
        <f>W22*$B$7</f>
        <v>38.167897416707973</v>
      </c>
    </row>
    <row r="21" spans="7:27" x14ac:dyDescent="0.2">
      <c r="I21" s="30">
        <f>EXP(-$B$4*$B$5) * ($B$9 *K19+ (1-$B$9) * K23)</f>
        <v>37.412315993289219</v>
      </c>
      <c r="M21" s="30">
        <f>EXP(-$B$4*$B$5) * ($B$9 *O19+ (1-$B$9) * O23)</f>
        <v>37.32401326081014</v>
      </c>
      <c r="Q21" s="30">
        <f>EXP(-$B$4*$B$5) * ($B$9 *S19+ (1-$B$9) * S23)</f>
        <v>37.229563252178316</v>
      </c>
      <c r="U21" s="30">
        <f>EXP(-$B$4*$B$5) * ($B$9 *W19+ (1-$B$9) * W23)</f>
        <v>37.125679704105622</v>
      </c>
      <c r="Y21" s="30">
        <f>EXP(-$B$4*$B$5) * ($B$9 *AA19+ (1-$B$9) * AA23)</f>
        <v>37.010295145019889</v>
      </c>
    </row>
    <row r="22" spans="7:27" x14ac:dyDescent="0.2">
      <c r="G22" s="30">
        <v>23.15</v>
      </c>
      <c r="K22" s="30">
        <f>I24*$B$7</f>
        <v>23.150000000000002</v>
      </c>
      <c r="O22" s="30">
        <f>M24*$B$7</f>
        <v>23.150000000000002</v>
      </c>
      <c r="S22" s="30">
        <f>Q24*$B$7</f>
        <v>23.150000000000002</v>
      </c>
      <c r="W22" s="30">
        <f>U24*$B$7</f>
        <v>23.150000000000002</v>
      </c>
      <c r="AA22" s="30">
        <f>Y20*$B$8</f>
        <v>23.150000000000002</v>
      </c>
    </row>
    <row r="23" spans="7:27" x14ac:dyDescent="0.2">
      <c r="G23" s="30">
        <f>EXP(-$B$4*$B$5) * ($B$9 *I21+ (1-$B$9) * I25)</f>
        <v>22.447323439738653</v>
      </c>
      <c r="K23" s="30">
        <f>EXP(-$B$4*$B$5) * ($B$9 *M21+ (1-$B$9) * M25)</f>
        <v>22.357292755126494</v>
      </c>
      <c r="O23" s="30">
        <f>EXP(-$B$4*$B$5) * ($B$9 *Q21+ (1-$B$9) * Q25)</f>
        <v>22.261358443322564</v>
      </c>
      <c r="S23" s="30">
        <f>EXP(-$B$4*$B$5) * ($B$9 *U21+ (1-$B$9) * U25)</f>
        <v>22.161087219916372</v>
      </c>
      <c r="W23" s="30">
        <f>EXP(-$B$4*$B$5) * ($B$9 *Y21+ (1-$B$9) * Y25)</f>
        <v>22.051604082444754</v>
      </c>
      <c r="AA23" s="30">
        <f>MAX(AA22 - $B$3, 0)</f>
        <v>21.930000000000003</v>
      </c>
    </row>
    <row r="24" spans="7:27" x14ac:dyDescent="0.2">
      <c r="I24" s="30">
        <f>G22*$B$8</f>
        <v>14.041184772347464</v>
      </c>
      <c r="M24" s="30">
        <f>K22*$B$8</f>
        <v>14.041184772347465</v>
      </c>
      <c r="Q24" s="30">
        <f>O22*$B$8</f>
        <v>14.041184772347465</v>
      </c>
      <c r="U24" s="30">
        <f>S26*$B$7</f>
        <v>14.041184772347465</v>
      </c>
      <c r="Y24" s="30">
        <f>W22*$B$8</f>
        <v>14.041184772347465</v>
      </c>
    </row>
    <row r="25" spans="7:27" x14ac:dyDescent="0.2">
      <c r="I25" s="30">
        <f>EXP(-$B$4*$B$5) * ($B$9 *K23+ (1-$B$9) * K27)</f>
        <v>13.311935523952496</v>
      </c>
      <c r="M25" s="30">
        <f>EXP(-$B$4*$B$5) * ($B$9 *O23+ (1-$B$9) * O27)</f>
        <v>13.21210241066813</v>
      </c>
      <c r="Q25" s="30">
        <f>EXP(-$B$4*$B$5) * ($B$9 *S23+ (1-$B$9) * S27)</f>
        <v>13.105991363110448</v>
      </c>
      <c r="U25" s="30">
        <f>EXP(-$B$4*$B$5) * ($B$9 *W23+ (1-$B$9) * W27)</f>
        <v>12.998967059745119</v>
      </c>
      <c r="Y25" s="30">
        <f>EXP(-$B$4*$B$5) * ($B$9 *AA23+ (1-$B$9) * AA27)</f>
        <v>12.883582500659388</v>
      </c>
    </row>
    <row r="26" spans="7:27" x14ac:dyDescent="0.2">
      <c r="K26" s="30">
        <f>I24*$B$8</f>
        <v>8.5164090631188891</v>
      </c>
      <c r="O26" s="30">
        <f>M24*$B$8</f>
        <v>8.5164090631188909</v>
      </c>
      <c r="S26" s="30">
        <f>Q24*$B$8</f>
        <v>8.5164090631188909</v>
      </c>
      <c r="W26" s="30">
        <f>U24*$B$8</f>
        <v>8.5164090631188909</v>
      </c>
      <c r="AA26" s="30">
        <f>Y24*$B$8</f>
        <v>8.5164090631188909</v>
      </c>
    </row>
    <row r="27" spans="7:27" x14ac:dyDescent="0.2">
      <c r="K27" s="30">
        <f>EXP(-$B$4*$B$5) * ($B$9 *M25+ (1-$B$9) * M29)</f>
        <v>7.7660146765000446</v>
      </c>
      <c r="O27" s="30">
        <f>EXP(-$B$4*$B$5) * ($B$9 *Q25+ (1-$B$9) * Q29)</f>
        <v>7.6538206314107402</v>
      </c>
      <c r="S27" s="30">
        <f>EXP(-$B$4*$B$5) * ($B$9 *U25+ (1-$B$9) * U29)</f>
        <v>7.5332958704284847</v>
      </c>
      <c r="W27" s="30">
        <f>EXP(-$B$4*$B$5) * ($B$9 *Y25+ (1-$B$9) * Y29)</f>
        <v>7.4180131455636467</v>
      </c>
      <c r="AA27" s="30">
        <f>MAX(AA26 - $B$3, 0)</f>
        <v>7.2964090631188911</v>
      </c>
    </row>
    <row r="28" spans="7:27" x14ac:dyDescent="0.2">
      <c r="M28" s="30">
        <f>K26*$B$8</f>
        <v>5.16546320743615</v>
      </c>
      <c r="Q28" s="30">
        <f>O26*$B$8</f>
        <v>5.1654632074361508</v>
      </c>
      <c r="U28" s="30">
        <f>S26*$B$8</f>
        <v>5.1654632074361508</v>
      </c>
      <c r="Y28" s="30">
        <f>W26*$B$8</f>
        <v>5.1654632074361508</v>
      </c>
    </row>
    <row r="29" spans="7:27" x14ac:dyDescent="0.2">
      <c r="M29" s="30">
        <f>EXP(-$B$4*$B$5) * ($B$9 *O27+ (1-$B$9) * O31)</f>
        <v>4.403381353293021</v>
      </c>
      <c r="Q29" s="30">
        <f>EXP(-$B$4*$B$5) * ($B$9 *S27+ (1-$B$9) * S31)</f>
        <v>4.2760162010945155</v>
      </c>
      <c r="U29" s="30">
        <f>EXP(-$B$4*$B$5) * ($B$9 *W27+ (1-$B$9) * W31)</f>
        <v>4.1339547704053352</v>
      </c>
      <c r="Y29" s="30">
        <f>EXP(-$B$4*$B$5) * ($B$9 *AA27+ (1-$B$9) * AA31)</f>
        <v>4.0078609357480737</v>
      </c>
    </row>
    <row r="30" spans="7:27" x14ac:dyDescent="0.2">
      <c r="O30" s="30">
        <f>M28*$B$8</f>
        <v>3.1330118069275836</v>
      </c>
      <c r="S30" s="30">
        <f>Q28*$B$8</f>
        <v>3.1330118069275841</v>
      </c>
      <c r="W30" s="30">
        <f>U28*$B$8</f>
        <v>3.1330118069275841</v>
      </c>
      <c r="AA30" s="30">
        <f>Y28*$B$8</f>
        <v>3.1330118069275841</v>
      </c>
    </row>
    <row r="31" spans="7:27" x14ac:dyDescent="0.2">
      <c r="O31" s="30">
        <f>EXP(-$B$4*$B$5) * ($B$9 *Q29+ (1-$B$9) * Q33)</f>
        <v>2.374548772209605</v>
      </c>
      <c r="S31" s="30">
        <f>EXP(-$B$4*$B$5) * ($B$9 *U29+ (1-$B$9) * U33)</f>
        <v>2.230010053937256</v>
      </c>
      <c r="W31" s="30">
        <f>EXP(-$B$4*$B$5) * ($B$9 *Y29+ (1-$B$9) * Y33)</f>
        <v>2.0543911898361245</v>
      </c>
      <c r="AA31" s="30">
        <f>MAX(AA30 - $B$3, 0)</f>
        <v>1.9130118069275841</v>
      </c>
    </row>
    <row r="32" spans="7:27" x14ac:dyDescent="0.2">
      <c r="Q32" s="30">
        <f>O30*$B$8</f>
        <v>1.900267718143257</v>
      </c>
      <c r="U32" s="30">
        <f>S30*$B$8</f>
        <v>1.9002677181432572</v>
      </c>
      <c r="Y32" s="30">
        <f>W30*$B$8</f>
        <v>1.9002677181432572</v>
      </c>
    </row>
    <row r="33" spans="7:27" x14ac:dyDescent="0.2">
      <c r="Q33" s="30">
        <f>EXP(-$B$4*$B$5) * ($B$9 *S31+ (1-$B$9) * S35)</f>
        <v>1.1686877732094585</v>
      </c>
      <c r="U33" s="30">
        <f>EXP(-$B$4*$B$5) * ($B$9 *W31+ (1-$B$9) * W35)</f>
        <v>1.0086351120921881</v>
      </c>
      <c r="Y33" s="30">
        <f>EXP(-$B$4*$B$5) * ($B$9 *AA31+ (1-$B$9) * AA35)</f>
        <v>0.77918168939065957</v>
      </c>
    </row>
    <row r="34" spans="7:27" x14ac:dyDescent="0.2">
      <c r="S34" s="30">
        <f>Q32*$B$8</f>
        <v>1.1525706327160503</v>
      </c>
      <c r="W34" s="30">
        <f>U32*$B$8</f>
        <v>1.1525706327160503</v>
      </c>
      <c r="AA34" s="30">
        <f>Y32*$B$8</f>
        <v>1.1525706327160503</v>
      </c>
    </row>
    <row r="35" spans="7:27" x14ac:dyDescent="0.2">
      <c r="S35" s="30">
        <f>EXP(-$B$4*$B$5) * ($B$9 *U33+ (1-$B$9) * U37)</f>
        <v>0.48082660165220115</v>
      </c>
      <c r="W35" s="30">
        <f>EXP(-$B$4*$B$5) * ($B$9 *Y33+ (1-$B$9) * Y37)</f>
        <v>0.31736558179259822</v>
      </c>
      <c r="AA35" s="30">
        <f>MAX(AA34 - $B$3, 0)</f>
        <v>0</v>
      </c>
    </row>
    <row r="36" spans="7:27" x14ac:dyDescent="0.2">
      <c r="U36" s="30">
        <f>S34*$B$8</f>
        <v>0.69906942622667334</v>
      </c>
      <c r="Y36" s="30">
        <f>W34*$B$8</f>
        <v>0.69906942622667334</v>
      </c>
    </row>
    <row r="37" spans="7:27" x14ac:dyDescent="0.2">
      <c r="U37" s="30">
        <f>EXP(-$B$4*$B$5) * ($B$9 *W35+ (1-$B$9) * W39)</f>
        <v>0.12926498899803551</v>
      </c>
      <c r="Y37" s="30">
        <f>EXP(-$B$4*$B$5) * ($B$9 *AA35+ (1-$B$9) * AA39)</f>
        <v>0</v>
      </c>
    </row>
    <row r="38" spans="7:27" x14ac:dyDescent="0.2">
      <c r="W38" s="30">
        <f>U36*$B$8</f>
        <v>0.42400704027419628</v>
      </c>
      <c r="AA38">
        <f>Y36*$B$8</f>
        <v>0.42400704027419628</v>
      </c>
    </row>
    <row r="39" spans="7:27" x14ac:dyDescent="0.2">
      <c r="W39" s="30">
        <f>EXP(-$B$4*$B$5) * ($B$9 *Y37+ (1-$B$9) * Y41)</f>
        <v>0</v>
      </c>
      <c r="AA39" s="30">
        <f>MAX(AA38 - $B$3, 0)</f>
        <v>0</v>
      </c>
    </row>
    <row r="40" spans="7:27" x14ac:dyDescent="0.2">
      <c r="Y40" s="30">
        <f>W38*$B$8</f>
        <v>0.25717326986030942</v>
      </c>
    </row>
    <row r="41" spans="7:27" x14ac:dyDescent="0.2">
      <c r="Y41" s="30">
        <f>EXP(-$B$4*$B$5) * ($B$9 *AA39+ (1-$B$9) * AA43)</f>
        <v>0</v>
      </c>
    </row>
    <row r="42" spans="7:27" x14ac:dyDescent="0.2">
      <c r="AA42" s="30">
        <f>Y40*$B$8</f>
        <v>0.15598347302882859</v>
      </c>
    </row>
    <row r="43" spans="7:27" x14ac:dyDescent="0.2">
      <c r="AA43" s="30">
        <f>MAX(AA42 - $B$3, 0)</f>
        <v>0</v>
      </c>
    </row>
    <row r="44" spans="7:27" x14ac:dyDescent="0.2">
      <c r="G44" t="s">
        <v>109</v>
      </c>
    </row>
    <row r="45" spans="7:27" x14ac:dyDescent="0.2">
      <c r="G45" s="19">
        <v>0</v>
      </c>
      <c r="I45" s="19">
        <v>1</v>
      </c>
      <c r="K45" s="19">
        <v>2</v>
      </c>
      <c r="M45" s="19">
        <v>3</v>
      </c>
      <c r="O45" s="19">
        <v>4</v>
      </c>
      <c r="Q45" s="19">
        <v>5</v>
      </c>
      <c r="S45" s="19">
        <v>6</v>
      </c>
      <c r="U45" s="19">
        <v>7</v>
      </c>
      <c r="W45" s="19">
        <v>8</v>
      </c>
      <c r="Y45" s="19">
        <v>9</v>
      </c>
      <c r="AA45" s="19">
        <v>10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87D62-6FAC-4B5A-B68F-27D39F35D58E}">
  <dimension ref="A1:AA45"/>
  <sheetViews>
    <sheetView workbookViewId="0">
      <selection activeCell="I42" sqref="I42"/>
    </sheetView>
  </sheetViews>
  <sheetFormatPr defaultRowHeight="12.75" x14ac:dyDescent="0.2"/>
  <cols>
    <col min="1" max="1" width="23.5703125" bestFit="1" customWidth="1"/>
  </cols>
  <sheetData>
    <row r="1" spans="1:27" x14ac:dyDescent="0.2">
      <c r="A1" s="32" t="s">
        <v>79</v>
      </c>
      <c r="B1" s="32"/>
      <c r="C1" s="32"/>
    </row>
    <row r="2" spans="1:27" x14ac:dyDescent="0.2">
      <c r="A2" t="s">
        <v>39</v>
      </c>
      <c r="B2">
        <v>23.15</v>
      </c>
      <c r="AA2" s="30">
        <f>Y4*$B$8</f>
        <v>3435.76463322465</v>
      </c>
    </row>
    <row r="3" spans="1:27" x14ac:dyDescent="0.2">
      <c r="A3" t="s">
        <v>41</v>
      </c>
      <c r="B3">
        <v>1.22</v>
      </c>
      <c r="AA3" s="30">
        <f>MAX(AA2 - $B$3, 0)</f>
        <v>3434.5446332246502</v>
      </c>
    </row>
    <row r="4" spans="1:27" x14ac:dyDescent="0.2">
      <c r="A4" t="s">
        <v>61</v>
      </c>
      <c r="B4">
        <f>10/10</f>
        <v>1</v>
      </c>
      <c r="Y4" s="30">
        <f>W6*$B$8</f>
        <v>2083.8965896070808</v>
      </c>
    </row>
    <row r="5" spans="1:27" x14ac:dyDescent="0.2">
      <c r="A5" t="s">
        <v>45</v>
      </c>
      <c r="B5" s="17">
        <v>5.2499999999999998E-2</v>
      </c>
      <c r="Y5" s="30">
        <f>EXP(-$B$4*$B$5) * ($B$10 * AA3 + (1-$B$10) * AA7)</f>
        <v>2062.0038698192602</v>
      </c>
    </row>
    <row r="6" spans="1:27" x14ac:dyDescent="0.2">
      <c r="A6" t="s">
        <v>110</v>
      </c>
      <c r="B6" s="17">
        <v>0.01</v>
      </c>
      <c r="W6" s="30">
        <f>U8*$B$8</f>
        <v>1263.9471732672896</v>
      </c>
      <c r="AA6" s="30">
        <f>Y8*$B$8</f>
        <v>1263.9471732672896</v>
      </c>
    </row>
    <row r="7" spans="1:27" x14ac:dyDescent="0.2">
      <c r="A7" t="s">
        <v>37</v>
      </c>
      <c r="B7">
        <v>0.5</v>
      </c>
      <c r="W7" s="30">
        <f>EXP(-$B$4*$B$5) * ($B$10 *Y5+ (1-$B$10) * Y9)</f>
        <v>1237.8209464488652</v>
      </c>
      <c r="AA7" s="30">
        <f>MAX(AA6 - $B$3, 0)</f>
        <v>1262.7271732672896</v>
      </c>
    </row>
    <row r="8" spans="1:27" x14ac:dyDescent="0.2">
      <c r="A8" t="s">
        <v>51</v>
      </c>
      <c r="B8">
        <f>EXP(B7*SQRT(B4))</f>
        <v>1.6487212707001282</v>
      </c>
      <c r="U8" s="30">
        <f>S10*$B$8</f>
        <v>766.6227128437273</v>
      </c>
      <c r="Y8" s="30">
        <f>W10*$B$8</f>
        <v>766.6227128437273</v>
      </c>
    </row>
    <row r="9" spans="1:27" x14ac:dyDescent="0.2">
      <c r="A9" t="s">
        <v>52</v>
      </c>
      <c r="B9">
        <f>1/B8</f>
        <v>0.60653065971263342</v>
      </c>
      <c r="U9" s="30">
        <f>EXP(-$B$4*$B$5) * ($B$10 *W7+ (1-$B$10) * W11)</f>
        <v>742.923369883433</v>
      </c>
      <c r="Y9" s="30">
        <f>EXP(-$B$4*$B$5) * ($B$10 *AA7+ (1-$B$10) * AA11)</f>
        <v>757.83708712758028</v>
      </c>
    </row>
    <row r="10" spans="1:27" x14ac:dyDescent="0.2">
      <c r="A10" t="s">
        <v>53</v>
      </c>
      <c r="B10" s="19">
        <f>(EXP((B5-B6) * B4 ) - B9) / (B8 - B9)</f>
        <v>0.41919912927164799</v>
      </c>
      <c r="C10" s="19"/>
      <c r="S10" s="30">
        <f>Q12*$B$8</f>
        <v>464.98017977179461</v>
      </c>
      <c r="W10" s="30">
        <f>U12*$B$8</f>
        <v>464.98017977179461</v>
      </c>
      <c r="AA10" s="30">
        <f>Y12*$B$8</f>
        <v>464.98017977179461</v>
      </c>
    </row>
    <row r="11" spans="1:27" x14ac:dyDescent="0.2">
      <c r="S11" s="30">
        <f>EXP(-$B$4*$B$5) * ($B$10 *U9+ (1-$B$10) * U13)</f>
        <v>445.75913335980511</v>
      </c>
      <c r="W11" s="30">
        <f>EXP(-$B$4*$B$5) * ($B$10 *Y9+ (1-$B$10) * Y13)</f>
        <v>454.67455940869434</v>
      </c>
      <c r="AA11" s="30">
        <f>MAX(AA10 - $B$3, 0)</f>
        <v>463.76017977179458</v>
      </c>
    </row>
    <row r="12" spans="1:27" x14ac:dyDescent="0.2">
      <c r="Q12" s="30">
        <f>O14*$B$8</f>
        <v>282.02473519028547</v>
      </c>
      <c r="U12" s="30">
        <f>S14*$B$8</f>
        <v>282.02473519028547</v>
      </c>
      <c r="Y12" s="30">
        <f>W14*$B$8</f>
        <v>282.02473519028547</v>
      </c>
    </row>
    <row r="13" spans="1:27" x14ac:dyDescent="0.2">
      <c r="Q13" s="30">
        <f>EXP(-$B$4*$B$5) * ($B$10 *S11+ (1-$B$10) * S15)</f>
        <v>267.3318923854917</v>
      </c>
      <c r="U13" s="30">
        <f>EXP(-$B$4*$B$5) * ($B$10 *W11+ (1-$B$10) * W15)</f>
        <v>272.64742690301085</v>
      </c>
      <c r="Y13" s="30">
        <f>EXP(-$B$4*$B$5) * ($B$10 *AA11+ (1-$B$10) * AA15)</f>
        <v>278.06093991660714</v>
      </c>
    </row>
    <row r="14" spans="1:27" x14ac:dyDescent="0.2">
      <c r="O14" s="30">
        <f>M16*$B$8</f>
        <v>171.05664869024457</v>
      </c>
      <c r="S14" s="30">
        <f>Q16*$B$8</f>
        <v>171.0566486902446</v>
      </c>
      <c r="W14" s="30">
        <f>U16*$B$8</f>
        <v>171.0566486902446</v>
      </c>
      <c r="AA14" s="30">
        <f>Y16*$B$8</f>
        <v>171.0566486902446</v>
      </c>
    </row>
    <row r="15" spans="1:27" x14ac:dyDescent="0.2">
      <c r="O15" s="30">
        <f>EXP(-$B$4*$B$5) * ($B$10 *Q13+ (1-$B$10) * Q17)</f>
        <v>160.20474254364453</v>
      </c>
      <c r="S15" s="30">
        <f>EXP(-$B$4*$B$5) * ($B$10 *U13+ (1-$B$10) * U17)</f>
        <v>163.36050877829237</v>
      </c>
      <c r="W15" s="30">
        <f>EXP(-$B$4*$B$5) * ($B$10 *Y13+ (1-$B$10) * Y17)</f>
        <v>166.57110418892216</v>
      </c>
      <c r="AA15" s="30">
        <f>MAX(AA14 - $B$3, 0)</f>
        <v>169.8366486902446</v>
      </c>
    </row>
    <row r="16" spans="1:27" x14ac:dyDescent="0.2">
      <c r="M16" s="30">
        <f>K18*$B$8</f>
        <v>103.7511019783262</v>
      </c>
      <c r="Q16" s="30">
        <f>O18*$B$8</f>
        <v>103.75110197832622</v>
      </c>
      <c r="U16" s="30">
        <f>S18*$B$8</f>
        <v>103.75110197832622</v>
      </c>
      <c r="Y16" s="30">
        <f>W18*$B$8</f>
        <v>103.75110197832622</v>
      </c>
    </row>
    <row r="17" spans="7:27" x14ac:dyDescent="0.2">
      <c r="M17" s="30">
        <f>EXP(-$B$4*$B$5) * ($B$10 *O15+ (1-$B$10) * O19)</f>
        <v>95.892081034316561</v>
      </c>
      <c r="Q17" s="30">
        <f>EXP(-$B$4*$B$5) * ($B$10 *S15+ (1-$B$10) * S19)</f>
        <v>97.75276686162843</v>
      </c>
      <c r="U17" s="30">
        <f>EXP(-$B$4*$B$5) * ($B$10 *W15+ (1-$B$10) * W19)</f>
        <v>99.642575803000099</v>
      </c>
      <c r="Y17" s="30">
        <f>EXP(-$B$4*$B$5) * ($B$10 *AA15+ (1-$B$10) * AA19)</f>
        <v>101.56115899324676</v>
      </c>
    </row>
    <row r="18" spans="7:27" x14ac:dyDescent="0.2">
      <c r="K18" s="30">
        <f>I20*$B$8</f>
        <v>62.9282243288269</v>
      </c>
      <c r="O18" s="30">
        <f>M20*$B$8</f>
        <v>62.928224328826907</v>
      </c>
      <c r="S18" s="30">
        <f>Q20*$B$8</f>
        <v>62.928224328826907</v>
      </c>
      <c r="W18" s="30">
        <f>U20*$B$8</f>
        <v>62.928224328826907</v>
      </c>
      <c r="AA18" s="30">
        <f>Y20*$B$8</f>
        <v>62.928224328826907</v>
      </c>
    </row>
    <row r="19" spans="7:27" x14ac:dyDescent="0.2">
      <c r="K19" s="30">
        <f>EXP(-$B$4*$B$5) * ($B$10 *M17+ (1-$B$10) * M21)</f>
        <v>57.289049078612059</v>
      </c>
      <c r="O19" s="30">
        <f>EXP(-$B$4*$B$5) * ($B$10 *Q17+ (1-$B$10) * Q21)</f>
        <v>58.37322740771436</v>
      </c>
      <c r="S19" s="30">
        <f>EXP(-$B$4*$B$5) * ($B$10 *U17+ (1-$B$10) * U21)</f>
        <v>59.471860579661538</v>
      </c>
      <c r="W19" s="30">
        <f>EXP(-$B$4*$B$5) * ($B$10 *Y17+ (1-$B$10) * Y21)</f>
        <v>60.58376608311076</v>
      </c>
      <c r="AA19" s="30">
        <f>MAX(AA18 - $B$3, 0)</f>
        <v>61.708224328826908</v>
      </c>
    </row>
    <row r="20" spans="7:27" x14ac:dyDescent="0.2">
      <c r="I20" s="30">
        <f>G22*B8</f>
        <v>38.167897416707966</v>
      </c>
      <c r="M20" s="30">
        <f>K22*$B$8</f>
        <v>38.167897416707973</v>
      </c>
      <c r="Q20" s="30">
        <f>O22*$B$8</f>
        <v>38.167897416707973</v>
      </c>
      <c r="U20" s="30">
        <f>S22*$B$8</f>
        <v>38.167897416707973</v>
      </c>
      <c r="Y20" s="30">
        <f>W22*$B$8</f>
        <v>38.167897416707973</v>
      </c>
    </row>
    <row r="21" spans="7:27" x14ac:dyDescent="0.2">
      <c r="I21" s="30">
        <f>EXP(-$B$4*$B$5) * ($B$10 *K19+ (1-$B$10) * K23)</f>
        <v>34.128018557034963</v>
      </c>
      <c r="M21" s="30">
        <f>EXP(-$B$4*$B$5) * ($B$10 *O19+ (1-$B$10) * O23)</f>
        <v>34.743747377745542</v>
      </c>
      <c r="Q21" s="30">
        <f>EXP(-$B$4*$B$5) * ($B$10 *S19+ (1-$B$10) * S23)</f>
        <v>35.368092929567744</v>
      </c>
      <c r="U21" s="30">
        <f>EXP(-$B$4*$B$5) * ($B$10 *W19+ (1-$B$10) * W23)</f>
        <v>35.997647860379544</v>
      </c>
      <c r="Y21" s="30">
        <f>EXP(-$B$4*$B$5) * ($B$10 *AA19+ (1-$B$10) * AA23)</f>
        <v>36.630518220278951</v>
      </c>
    </row>
    <row r="22" spans="7:27" x14ac:dyDescent="0.2">
      <c r="G22" s="30">
        <v>23.15</v>
      </c>
      <c r="K22" s="30">
        <f>I24*$B$8</f>
        <v>23.150000000000002</v>
      </c>
      <c r="O22" s="30">
        <f>M24*$B$8</f>
        <v>23.150000000000002</v>
      </c>
      <c r="S22" s="30">
        <f>Q24*$B$8</f>
        <v>23.150000000000002</v>
      </c>
      <c r="W22" s="30">
        <f>U24*$B$8</f>
        <v>23.150000000000002</v>
      </c>
      <c r="AA22" s="30">
        <f>Y20*$B$9</f>
        <v>23.150000000000002</v>
      </c>
    </row>
    <row r="23" spans="7:27" x14ac:dyDescent="0.2">
      <c r="G23" s="30">
        <f>EXP(-$B$4*$B$5) * ($B$10 *I21+ (1-$B$10) * I25)</f>
        <v>20.246966891666993</v>
      </c>
      <c r="K23" s="30">
        <f>EXP(-$B$4*$B$5) * ($B$10 *M21+ (1-$B$10) * M25)</f>
        <v>20.578630831561334</v>
      </c>
      <c r="O23" s="30">
        <f>EXP(-$B$4*$B$5) * ($B$10 *Q21+ (1-$B$10) * Q25)</f>
        <v>20.913395429819886</v>
      </c>
      <c r="S23" s="30">
        <f>EXP(-$B$4*$B$5) * ($B$10 *U21+ (1-$B$10) * U25)</f>
        <v>21.253362736292651</v>
      </c>
      <c r="W23" s="30">
        <f>EXP(-$B$4*$B$5) * ($B$10 *Y21+ (1-$B$10) * Y25)</f>
        <v>21.593203369496138</v>
      </c>
      <c r="AA23" s="30">
        <f>MAX(AA22 - $B$3, 0)</f>
        <v>21.930000000000003</v>
      </c>
    </row>
    <row r="24" spans="7:27" x14ac:dyDescent="0.2">
      <c r="I24" s="30">
        <f>G22*$B$9</f>
        <v>14.041184772347464</v>
      </c>
      <c r="M24" s="30">
        <f>K22*$B$9</f>
        <v>14.041184772347465</v>
      </c>
      <c r="Q24" s="30">
        <f>O22*$B$9</f>
        <v>14.041184772347465</v>
      </c>
      <c r="U24" s="30">
        <f>S26*$B$8</f>
        <v>14.041184772347465</v>
      </c>
      <c r="Y24" s="30">
        <f>W22*$B$9</f>
        <v>14.041184772347465</v>
      </c>
    </row>
    <row r="25" spans="7:27" x14ac:dyDescent="0.2">
      <c r="I25" s="30">
        <f>EXP(-$B$4*$B$5) * ($B$10 *K23+ (1-$B$10) * K27)</f>
        <v>12.107238423649624</v>
      </c>
      <c r="M25" s="30">
        <f>EXP(-$B$4*$B$5) * ($B$10 *O23+ (1-$B$10) * O27)</f>
        <v>12.264656387537523</v>
      </c>
      <c r="Q25" s="30">
        <f>EXP(-$B$4*$B$5) * ($B$10 *S23+ (1-$B$10) * S27)</f>
        <v>12.421481490081121</v>
      </c>
      <c r="U25" s="30">
        <f>EXP(-$B$4*$B$5) * ($B$10 *W23+ (1-$B$10) * W27)</f>
        <v>12.583987335451575</v>
      </c>
      <c r="Y25" s="30">
        <f>EXP(-$B$4*$B$5) * ($B$10 *AA23+ (1-$B$10) * AA27)</f>
        <v>12.743870377815879</v>
      </c>
    </row>
    <row r="26" spans="7:27" x14ac:dyDescent="0.2">
      <c r="K26" s="30">
        <f>I24*$B$9</f>
        <v>8.5164090631188891</v>
      </c>
      <c r="O26" s="30">
        <f>M24*$B$9</f>
        <v>8.5164090631188909</v>
      </c>
      <c r="S26" s="30">
        <f>Q24*$B$9</f>
        <v>8.5164090631188909</v>
      </c>
      <c r="W26" s="30">
        <f>U24*$B$9</f>
        <v>8.5164090631188909</v>
      </c>
      <c r="AA26" s="30">
        <f>Y24*$B$9</f>
        <v>8.5164090631188909</v>
      </c>
    </row>
    <row r="27" spans="7:27" x14ac:dyDescent="0.2">
      <c r="K27" s="30">
        <f>EXP(-$B$4*$B$5) * ($B$10 *M25+ (1-$B$10) * M29)</f>
        <v>7.1165621067397646</v>
      </c>
      <c r="O27" s="30">
        <f>EXP(-$B$4*$B$5) * ($B$10 *Q25+ (1-$B$10) * Q29)</f>
        <v>7.1605878109809034</v>
      </c>
      <c r="S27" s="30">
        <f>EXP(-$B$4*$B$5) * ($B$10 *U25+ (1-$B$10) * U29)</f>
        <v>7.1997826188092233</v>
      </c>
      <c r="W27" s="30">
        <f>EXP(-$B$4*$B$5) * ($B$10 *Y25+ (1-$B$10) * Y29)</f>
        <v>7.2493769474515171</v>
      </c>
      <c r="AA27" s="30">
        <f>MAX(AA26 - $B$3, 0)</f>
        <v>7.2964090631188911</v>
      </c>
    </row>
    <row r="28" spans="7:27" x14ac:dyDescent="0.2">
      <c r="M28" s="30">
        <f>K26*$B$9</f>
        <v>5.16546320743615</v>
      </c>
      <c r="Q28" s="30">
        <f>O26*$B$9</f>
        <v>5.1654632074361508</v>
      </c>
      <c r="U28" s="30">
        <f>S26*$B$9</f>
        <v>5.1654632074361508</v>
      </c>
      <c r="Y28" s="30">
        <f>W26*$B$9</f>
        <v>5.1654632074361508</v>
      </c>
    </row>
    <row r="29" spans="7:27" x14ac:dyDescent="0.2">
      <c r="M29" s="30">
        <f>EXP(-$B$4*$B$5) * ($B$10 *O27+ (1-$B$10) * O31)</f>
        <v>4.0613399150974079</v>
      </c>
      <c r="Q29" s="30">
        <f>EXP(-$B$4*$B$5) * ($B$10 *S27+ (1-$B$10) * S31)</f>
        <v>4.0280373756006806</v>
      </c>
      <c r="U29" s="30">
        <f>EXP(-$B$4*$B$5) * ($B$10 *W27+ (1-$B$10) * W31)</f>
        <v>3.9818687111894557</v>
      </c>
      <c r="Y29" s="30">
        <f>EXP(-$B$4*$B$5) * ($B$10 *AA27+ (1-$B$10) * AA31)</f>
        <v>3.9564637180715274</v>
      </c>
    </row>
    <row r="30" spans="7:27" x14ac:dyDescent="0.2">
      <c r="O30" s="30">
        <f>M28*$B$9</f>
        <v>3.1330118069275836</v>
      </c>
      <c r="S30" s="30">
        <f>Q28*$B$9</f>
        <v>3.1330118069275841</v>
      </c>
      <c r="W30" s="30">
        <f>U28*$B$9</f>
        <v>3.1330118069275841</v>
      </c>
      <c r="AA30" s="30">
        <f>Y28*$B$9</f>
        <v>3.1330118069275841</v>
      </c>
    </row>
    <row r="31" spans="7:27" x14ac:dyDescent="0.2">
      <c r="O31" s="30">
        <f>EXP(-$B$4*$B$5) * ($B$10 *Q29+ (1-$B$10) * Q33)</f>
        <v>2.2013471931494548</v>
      </c>
      <c r="S31" s="30">
        <f>EXP(-$B$4*$B$5) * ($B$10 *U29+ (1-$B$10) * U33)</f>
        <v>2.1126282128416167</v>
      </c>
      <c r="W31" s="30">
        <f>EXP(-$B$4*$B$5) * ($B$10 *Y29+ (1-$B$10) * Y33)</f>
        <v>1.9930568130823403</v>
      </c>
      <c r="AA31" s="30">
        <f>MAX(AA30 - $B$3, 0)</f>
        <v>1.9130118069275841</v>
      </c>
    </row>
    <row r="32" spans="7:27" x14ac:dyDescent="0.2">
      <c r="Q32" s="30">
        <f>O30*$B$9</f>
        <v>1.900267718143257</v>
      </c>
      <c r="U32" s="30">
        <f>S30*$B$9</f>
        <v>1.9002677181432572</v>
      </c>
      <c r="Y32" s="30">
        <f>W30*$B$9</f>
        <v>1.9002677181432572</v>
      </c>
    </row>
    <row r="33" spans="7:27" x14ac:dyDescent="0.2">
      <c r="Q33" s="30">
        <f>EXP(-$B$4*$B$5) * ($B$10 *S31+ (1-$B$10) * S35)</f>
        <v>1.0872154608984523</v>
      </c>
      <c r="U33" s="30">
        <f>EXP(-$B$4*$B$5) * ($B$10 *W31+ (1-$B$10) * W35)</f>
        <v>0.95955157389769619</v>
      </c>
      <c r="Y33" s="30">
        <f>EXP(-$B$4*$B$5) * ($B$10 *AA31+ (1-$B$10) * AA35)</f>
        <v>0.76091748194333053</v>
      </c>
    </row>
    <row r="34" spans="7:27" x14ac:dyDescent="0.2">
      <c r="S34" s="30">
        <f>Q32*$B$9</f>
        <v>1.1525706327160503</v>
      </c>
      <c r="W34" s="30">
        <f>U32*$B$9</f>
        <v>1.1525706327160503</v>
      </c>
      <c r="AA34" s="30">
        <f>Y32*$B$9</f>
        <v>1.1525706327160503</v>
      </c>
    </row>
    <row r="35" spans="7:27" x14ac:dyDescent="0.2">
      <c r="S35" s="30">
        <f>EXP(-$B$4*$B$5) * ($B$10 *U33+ (1-$B$10) * U37)</f>
        <v>0.44801457020551833</v>
      </c>
      <c r="W35" s="30">
        <f>EXP(-$B$4*$B$5) * ($B$10 *Y33+ (1-$B$10) * Y37)</f>
        <v>0.30266170455940961</v>
      </c>
      <c r="AA35" s="30">
        <f>MAX(AA34 - $B$3, 0)</f>
        <v>0</v>
      </c>
    </row>
    <row r="36" spans="7:27" x14ac:dyDescent="0.2">
      <c r="U36" s="30">
        <f>S34*$B$9</f>
        <v>0.69906942622667334</v>
      </c>
      <c r="Y36" s="30">
        <f>W34*$B$9</f>
        <v>0.69906942622667334</v>
      </c>
    </row>
    <row r="37" spans="7:27" x14ac:dyDescent="0.2">
      <c r="U37" s="30">
        <f>EXP(-$B$4*$B$5) * ($B$10 *W35+ (1-$B$10) * W39)</f>
        <v>0.12038638824916571</v>
      </c>
      <c r="Y37" s="30">
        <f>EXP(-$B$4*$B$5) * ($B$10 *AA35+ (1-$B$10) * AA39)</f>
        <v>0</v>
      </c>
    </row>
    <row r="38" spans="7:27" x14ac:dyDescent="0.2">
      <c r="W38" s="30">
        <f>U36*$B$9</f>
        <v>0.42400704027419628</v>
      </c>
      <c r="AA38">
        <f>Y36*$B$9</f>
        <v>0.42400704027419628</v>
      </c>
    </row>
    <row r="39" spans="7:27" x14ac:dyDescent="0.2">
      <c r="W39" s="30">
        <f>EXP(-$B$4*$B$5) * ($B$10 *Y37+ (1-$B$10) * Y41)</f>
        <v>0</v>
      </c>
      <c r="AA39" s="30">
        <f>MAX(AA38 - $B$3, 0)</f>
        <v>0</v>
      </c>
    </row>
    <row r="40" spans="7:27" x14ac:dyDescent="0.2">
      <c r="Y40" s="30">
        <f>W38*$B$9</f>
        <v>0.25717326986030942</v>
      </c>
    </row>
    <row r="41" spans="7:27" x14ac:dyDescent="0.2">
      <c r="Y41" s="30">
        <f>EXP(-$B$4*$B$5) * ($B$10 *AA39+ (1-$B$10) * AA43)</f>
        <v>0</v>
      </c>
    </row>
    <row r="42" spans="7:27" x14ac:dyDescent="0.2">
      <c r="AA42" s="30">
        <f>Y40*$B$9</f>
        <v>0.15598347302882859</v>
      </c>
    </row>
    <row r="43" spans="7:27" x14ac:dyDescent="0.2">
      <c r="AA43" s="30">
        <f>MAX(AA42 - $B$3, 0)</f>
        <v>0</v>
      </c>
    </row>
    <row r="44" spans="7:27" x14ac:dyDescent="0.2">
      <c r="G44" t="s">
        <v>109</v>
      </c>
    </row>
    <row r="45" spans="7:27" x14ac:dyDescent="0.2">
      <c r="G45" s="19">
        <v>0</v>
      </c>
      <c r="I45" s="19">
        <v>1</v>
      </c>
      <c r="K45" s="19">
        <v>2</v>
      </c>
      <c r="M45" s="19">
        <v>3</v>
      </c>
      <c r="O45" s="19">
        <v>4</v>
      </c>
      <c r="Q45" s="19">
        <v>5</v>
      </c>
      <c r="S45" s="19">
        <v>6</v>
      </c>
      <c r="U45" s="19">
        <v>7</v>
      </c>
      <c r="W45" s="19">
        <v>8</v>
      </c>
      <c r="Y45" s="19">
        <v>9</v>
      </c>
      <c r="AA45" s="19">
        <v>10</v>
      </c>
    </row>
  </sheetData>
  <mergeCells count="1">
    <mergeCell ref="A1:C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Parameters</vt:lpstr>
      <vt:lpstr>One Step</vt:lpstr>
      <vt:lpstr>Two Step</vt:lpstr>
      <vt:lpstr>Question 1</vt:lpstr>
      <vt:lpstr>Ten Step</vt:lpstr>
      <vt:lpstr>Ten Step with Dividend</vt:lpstr>
      <vt:lpstr>chAssetPrice</vt:lpstr>
      <vt:lpstr>chDelta</vt:lpstr>
      <vt:lpstr>chDividend</vt:lpstr>
      <vt:lpstr>chGamma</vt:lpstr>
      <vt:lpstr>chOptionPrice</vt:lpstr>
      <vt:lpstr>chRiskFreeRate</vt:lpstr>
      <vt:lpstr>chSteps</vt:lpstr>
      <vt:lpstr>chStrikePriceCall</vt:lpstr>
      <vt:lpstr>chStrikePricePut</vt:lpstr>
      <vt:lpstr>chTheta</vt:lpstr>
      <vt:lpstr>chTimeToChoice</vt:lpstr>
      <vt:lpstr>chTimeToMaturityCall</vt:lpstr>
      <vt:lpstr>chTimeToMaturityPut</vt:lpstr>
      <vt:lpstr>chVolatility</vt:lpstr>
      <vt:lpstr>coAssetPrice</vt:lpstr>
      <vt:lpstr>coCallOrPut1</vt:lpstr>
      <vt:lpstr>coCallOrPut2</vt:lpstr>
      <vt:lpstr>coDelta</vt:lpstr>
      <vt:lpstr>coDividend</vt:lpstr>
      <vt:lpstr>coGamma</vt:lpstr>
      <vt:lpstr>coOptionPrice</vt:lpstr>
      <vt:lpstr>coRiskFreeRate</vt:lpstr>
      <vt:lpstr>coSteps</vt:lpstr>
      <vt:lpstr>coStrikePrice1</vt:lpstr>
      <vt:lpstr>coStrikePrice2</vt:lpstr>
      <vt:lpstr>coTheta</vt:lpstr>
      <vt:lpstr>coTimeToMaturity1</vt:lpstr>
      <vt:lpstr>coTimeToMaturity2</vt:lpstr>
      <vt:lpstr>coVolatility</vt:lpstr>
      <vt:lpstr>sAssetPrice</vt:lpstr>
      <vt:lpstr>sCallOrPut</vt:lpstr>
      <vt:lpstr>sDelta</vt:lpstr>
      <vt:lpstr>sDividend</vt:lpstr>
      <vt:lpstr>sEuropeanOrAmerican</vt:lpstr>
      <vt:lpstr>sGamma</vt:lpstr>
      <vt:lpstr>shAssetPrice</vt:lpstr>
      <vt:lpstr>shCallOrPut</vt:lpstr>
      <vt:lpstr>shDelta</vt:lpstr>
      <vt:lpstr>shDividend</vt:lpstr>
      <vt:lpstr>shGamma</vt:lpstr>
      <vt:lpstr>shOptionPrice</vt:lpstr>
      <vt:lpstr>shRiskFreeRate</vt:lpstr>
      <vt:lpstr>shSteps</vt:lpstr>
      <vt:lpstr>shStrikePrice</vt:lpstr>
      <vt:lpstr>shTheta</vt:lpstr>
      <vt:lpstr>shTimeToMaturity</vt:lpstr>
      <vt:lpstr>shVolatility</vt:lpstr>
      <vt:lpstr>sOptionPrice</vt:lpstr>
      <vt:lpstr>sRiskFreeRate</vt:lpstr>
      <vt:lpstr>sSteps</vt:lpstr>
      <vt:lpstr>sStrikePrice</vt:lpstr>
      <vt:lpstr>sTheta</vt:lpstr>
      <vt:lpstr>sTimeToMaturity</vt:lpstr>
      <vt:lpstr>sVolatility</vt:lpstr>
    </vt:vector>
  </TitlesOfParts>
  <Company>AIG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simulationconsultant@gmail.com</dc:creator>
  <cp:lastModifiedBy>AashishNahar RajendraKumarNahar (Student)</cp:lastModifiedBy>
  <dcterms:created xsi:type="dcterms:W3CDTF">2006-08-11T05:36:44Z</dcterms:created>
  <dcterms:modified xsi:type="dcterms:W3CDTF">2024-06-17T05:01:51Z</dcterms:modified>
</cp:coreProperties>
</file>